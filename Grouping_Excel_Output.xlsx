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OVAZ-01" sheetId="2" state="visible" r:id="rId2"/>
    <sheet xmlns:r="http://schemas.openxmlformats.org/officeDocument/2006/relationships" name="OVAZ-02" sheetId="3" state="visible" r:id="rId3"/>
    <sheet xmlns:r="http://schemas.openxmlformats.org/officeDocument/2006/relationships" name="OVAZ-03" sheetId="4" state="visible" r:id="rId4"/>
    <sheet xmlns:r="http://schemas.openxmlformats.org/officeDocument/2006/relationships" name="OVAZ-04" sheetId="5" state="visible" r:id="rId5"/>
    <sheet xmlns:r="http://schemas.openxmlformats.org/officeDocument/2006/relationships" name="OVAZ-05" sheetId="6" state="visible" r:id="rId6"/>
    <sheet xmlns:r="http://schemas.openxmlformats.org/officeDocument/2006/relationships" name="OVAZ-06" sheetId="7" state="visible" r:id="rId7"/>
    <sheet xmlns:r="http://schemas.openxmlformats.org/officeDocument/2006/relationships" name="OVAZ-07" sheetId="8" state="visible" r:id="rId8"/>
    <sheet xmlns:r="http://schemas.openxmlformats.org/officeDocument/2006/relationships" name="OVAZ-08" sheetId="9" state="visible" r:id="rId9"/>
    <sheet xmlns:r="http://schemas.openxmlformats.org/officeDocument/2006/relationships" name="OVAZ-09" sheetId="10" state="visible" r:id="rId10"/>
    <sheet xmlns:r="http://schemas.openxmlformats.org/officeDocument/2006/relationships" name="OVAZ-10" sheetId="11" state="visible" r:id="rId11"/>
    <sheet xmlns:r="http://schemas.openxmlformats.org/officeDocument/2006/relationships" name="OVAZ-11" sheetId="12" state="visible" r:id="rId12"/>
    <sheet xmlns:r="http://schemas.openxmlformats.org/officeDocument/2006/relationships" name="OVAZ-12" sheetId="13" state="visible" r:id="rId13"/>
    <sheet xmlns:r="http://schemas.openxmlformats.org/officeDocument/2006/relationships" name="OVAZ-13" sheetId="14" state="visible" r:id="rId14"/>
    <sheet xmlns:r="http://schemas.openxmlformats.org/officeDocument/2006/relationships" name="OVAZ-14" sheetId="15" state="visible" r:id="rId15"/>
    <sheet xmlns:r="http://schemas.openxmlformats.org/officeDocument/2006/relationships" name="OVAZ-15" sheetId="16" state="visible" r:id="rId16"/>
    <sheet xmlns:r="http://schemas.openxmlformats.org/officeDocument/2006/relationships" name="OVAZ-16" sheetId="17" state="visible" r:id="rId17"/>
    <sheet xmlns:r="http://schemas.openxmlformats.org/officeDocument/2006/relationships" name="OVAZ-17" sheetId="18" state="visible" r:id="rId18"/>
    <sheet xmlns:r="http://schemas.openxmlformats.org/officeDocument/2006/relationships" name="OVAZ-18" sheetId="19" state="visible" r:id="rId19"/>
    <sheet xmlns:r="http://schemas.openxmlformats.org/officeDocument/2006/relationships" name="OVAZ-19" sheetId="20" state="visible" r:id="rId20"/>
    <sheet xmlns:r="http://schemas.openxmlformats.org/officeDocument/2006/relationships" name="OVAZ-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46" customWidth="1" min="4" max="4"/>
  </cols>
  <sheetData>
    <row r="1">
      <c r="A1" s="1" t="inlineStr">
        <is>
          <t>Group</t>
        </is>
      </c>
      <c r="B1" s="1" t="inlineStr">
        <is>
          <t>Sheet</t>
        </is>
      </c>
      <c r="C1" s="1" t="inlineStr">
        <is>
          <t>Row Count</t>
        </is>
      </c>
      <c r="D1" s="1" t="inlineStr">
        <is>
          <t>Link</t>
        </is>
      </c>
    </row>
    <row r="2">
      <c r="A2" t="inlineStr">
        <is>
          <t>OVAZ-01</t>
        </is>
      </c>
      <c r="B2" t="inlineStr">
        <is>
          <t>OVAZ-01</t>
        </is>
      </c>
      <c r="C2" t="n">
        <v>5</v>
      </c>
      <c r="D2" s="2">
        <f>HYPERLINK("#'OVAZ-01'!A1", "Go to OVAZ-01")</f>
        <v/>
      </c>
    </row>
    <row r="3">
      <c r="A3" t="inlineStr">
        <is>
          <t>OVAZ-02</t>
        </is>
      </c>
      <c r="B3" t="inlineStr">
        <is>
          <t>OVAZ-02</t>
        </is>
      </c>
      <c r="C3" t="n">
        <v>5</v>
      </c>
      <c r="D3" s="2">
        <f>HYPERLINK("#'OVAZ-02'!A1", "Go to OVAZ-02")</f>
        <v/>
      </c>
    </row>
    <row r="4">
      <c r="A4" t="inlineStr">
        <is>
          <t>OVAZ-03</t>
        </is>
      </c>
      <c r="B4" t="inlineStr">
        <is>
          <t>OVAZ-03</t>
        </is>
      </c>
      <c r="C4" t="n">
        <v>5</v>
      </c>
      <c r="D4" s="2">
        <f>HYPERLINK("#'OVAZ-03'!A1", "Go to OVAZ-03")</f>
        <v/>
      </c>
    </row>
    <row r="5">
      <c r="A5" t="inlineStr">
        <is>
          <t>OVAZ-04</t>
        </is>
      </c>
      <c r="B5" t="inlineStr">
        <is>
          <t>OVAZ-04</t>
        </is>
      </c>
      <c r="C5" t="n">
        <v>5</v>
      </c>
      <c r="D5" s="2">
        <f>HYPERLINK("#'OVAZ-04'!A1", "Go to OVAZ-04")</f>
        <v/>
      </c>
    </row>
    <row r="6">
      <c r="A6" t="inlineStr">
        <is>
          <t>OVAZ-05</t>
        </is>
      </c>
      <c r="B6" t="inlineStr">
        <is>
          <t>OVAZ-05</t>
        </is>
      </c>
      <c r="C6" t="n">
        <v>5</v>
      </c>
      <c r="D6" s="2">
        <f>HYPERLINK("#'OVAZ-05'!A1", "Go to OVAZ-05")</f>
        <v/>
      </c>
    </row>
    <row r="7">
      <c r="A7" t="inlineStr">
        <is>
          <t>OVAZ-06</t>
        </is>
      </c>
      <c r="B7" t="inlineStr">
        <is>
          <t>OVAZ-06</t>
        </is>
      </c>
      <c r="C7" t="n">
        <v>5</v>
      </c>
      <c r="D7" s="2">
        <f>HYPERLINK("#'OVAZ-06'!A1", "Go to OVAZ-06")</f>
        <v/>
      </c>
    </row>
    <row r="8">
      <c r="A8" t="inlineStr">
        <is>
          <t>OVAZ-07</t>
        </is>
      </c>
      <c r="B8" t="inlineStr">
        <is>
          <t>OVAZ-07</t>
        </is>
      </c>
      <c r="C8" t="n">
        <v>5</v>
      </c>
      <c r="D8" s="2">
        <f>HYPERLINK("#'OVAZ-07'!A1", "Go to OVAZ-07")</f>
        <v/>
      </c>
    </row>
    <row r="9">
      <c r="A9" t="inlineStr">
        <is>
          <t>OVAZ-08</t>
        </is>
      </c>
      <c r="B9" t="inlineStr">
        <is>
          <t>OVAZ-08</t>
        </is>
      </c>
      <c r="C9" t="n">
        <v>5</v>
      </c>
      <c r="D9" s="2">
        <f>HYPERLINK("#'OVAZ-08'!A1", "Go to OVAZ-08")</f>
        <v/>
      </c>
    </row>
    <row r="10">
      <c r="A10" t="inlineStr">
        <is>
          <t>OVAZ-09</t>
        </is>
      </c>
      <c r="B10" t="inlineStr">
        <is>
          <t>OVAZ-09</t>
        </is>
      </c>
      <c r="C10" t="n">
        <v>5</v>
      </c>
      <c r="D10" s="2">
        <f>HYPERLINK("#'OVAZ-09'!A1", "Go to OVAZ-09")</f>
        <v/>
      </c>
    </row>
    <row r="11">
      <c r="A11" t="inlineStr">
        <is>
          <t>OVAZ-10</t>
        </is>
      </c>
      <c r="B11" t="inlineStr">
        <is>
          <t>OVAZ-10</t>
        </is>
      </c>
      <c r="C11" t="n">
        <v>5</v>
      </c>
      <c r="D11" s="2">
        <f>HYPERLINK("#'OVAZ-10'!A1", "Go to OVAZ-10")</f>
        <v/>
      </c>
    </row>
    <row r="12">
      <c r="A12" t="inlineStr">
        <is>
          <t>OVAZ-11</t>
        </is>
      </c>
      <c r="B12" t="inlineStr">
        <is>
          <t>OVAZ-11</t>
        </is>
      </c>
      <c r="C12" t="n">
        <v>5</v>
      </c>
      <c r="D12" s="2">
        <f>HYPERLINK("#'OVAZ-11'!A1", "Go to OVAZ-11")</f>
        <v/>
      </c>
    </row>
    <row r="13">
      <c r="A13" t="inlineStr">
        <is>
          <t>OVAZ-12</t>
        </is>
      </c>
      <c r="B13" t="inlineStr">
        <is>
          <t>OVAZ-12</t>
        </is>
      </c>
      <c r="C13" t="n">
        <v>5</v>
      </c>
      <c r="D13" s="2">
        <f>HYPERLINK("#'OVAZ-12'!A1", "Go to OVAZ-12")</f>
        <v/>
      </c>
    </row>
    <row r="14">
      <c r="A14" t="inlineStr">
        <is>
          <t>OVAZ-13</t>
        </is>
      </c>
      <c r="B14" t="inlineStr">
        <is>
          <t>OVAZ-13</t>
        </is>
      </c>
      <c r="C14" t="n">
        <v>5</v>
      </c>
      <c r="D14" s="2">
        <f>HYPERLINK("#'OVAZ-13'!A1", "Go to OVAZ-13")</f>
        <v/>
      </c>
    </row>
    <row r="15">
      <c r="A15" t="inlineStr">
        <is>
          <t>OVAZ-14</t>
        </is>
      </c>
      <c r="B15" t="inlineStr">
        <is>
          <t>OVAZ-14</t>
        </is>
      </c>
      <c r="C15" t="n">
        <v>5</v>
      </c>
      <c r="D15" s="2">
        <f>HYPERLINK("#'OVAZ-14'!A1", "Go to OVAZ-14")</f>
        <v/>
      </c>
    </row>
    <row r="16">
      <c r="A16" t="inlineStr">
        <is>
          <t>OVAZ-15</t>
        </is>
      </c>
      <c r="B16" t="inlineStr">
        <is>
          <t>OVAZ-15</t>
        </is>
      </c>
      <c r="C16" t="n">
        <v>5</v>
      </c>
      <c r="D16" s="2">
        <f>HYPERLINK("#'OVAZ-15'!A1", "Go to OVAZ-15")</f>
        <v/>
      </c>
    </row>
    <row r="17">
      <c r="A17" t="inlineStr">
        <is>
          <t>OVAZ-16</t>
        </is>
      </c>
      <c r="B17" t="inlineStr">
        <is>
          <t>OVAZ-16</t>
        </is>
      </c>
      <c r="C17" t="n">
        <v>5</v>
      </c>
      <c r="D17" s="2">
        <f>HYPERLINK("#'OVAZ-16'!A1", "Go to OVAZ-16")</f>
        <v/>
      </c>
    </row>
    <row r="18">
      <c r="A18" t="inlineStr">
        <is>
          <t>OVAZ-17</t>
        </is>
      </c>
      <c r="B18" t="inlineStr">
        <is>
          <t>OVAZ-17</t>
        </is>
      </c>
      <c r="C18" t="n">
        <v>5</v>
      </c>
      <c r="D18" s="2">
        <f>HYPERLINK("#'OVAZ-17'!A1", "Go to OVAZ-17")</f>
        <v/>
      </c>
    </row>
    <row r="19">
      <c r="A19" t="inlineStr">
        <is>
          <t>OVAZ-18</t>
        </is>
      </c>
      <c r="B19" t="inlineStr">
        <is>
          <t>OVAZ-18</t>
        </is>
      </c>
      <c r="C19" t="n">
        <v>5</v>
      </c>
      <c r="D19" s="2">
        <f>HYPERLINK("#'OVAZ-18'!A1", "Go to OVAZ-18")</f>
        <v/>
      </c>
    </row>
    <row r="20">
      <c r="A20" t="inlineStr">
        <is>
          <t>OVAZ-19</t>
        </is>
      </c>
      <c r="B20" t="inlineStr">
        <is>
          <t>OVAZ-19</t>
        </is>
      </c>
      <c r="C20" t="n">
        <v>5</v>
      </c>
      <c r="D20" s="2">
        <f>HYPERLINK("#'OVAZ-19'!A1", "Go to OVAZ-19")</f>
        <v/>
      </c>
    </row>
    <row r="21">
      <c r="A21" t="inlineStr">
        <is>
          <t>OVAZ-20</t>
        </is>
      </c>
      <c r="B21" t="inlineStr">
        <is>
          <t>OVAZ-20</t>
        </is>
      </c>
      <c r="C21" t="n">
        <v>5</v>
      </c>
      <c r="D21" s="2">
        <f>HYPERLINK("#'OVAZ-20'!A1", "Go to OVAZ-20")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0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OVAZ-01</t>
        </is>
      </c>
      <c r="B2" t="n">
        <v>1</v>
      </c>
      <c r="C2" t="inlineStr">
        <is>
          <t>(-109.98928896999996, 31.92171833900005)</t>
        </is>
      </c>
      <c r="D2" t="inlineStr">
        <is>
          <t>2P9252667535</t>
        </is>
      </c>
      <c r="E2" t="n">
        <v>49184463803</v>
      </c>
      <c r="F2" t="inlineStr">
        <is>
          <t>2737 Sunrise Rd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Single Phase</t>
        </is>
      </c>
      <c r="K2" t="inlineStr">
        <is>
          <t>Ocean View Feeder C</t>
        </is>
      </c>
      <c r="L2" t="inlineStr">
        <is>
          <t>C</t>
        </is>
      </c>
      <c r="M2" t="n">
        <v>-109.98928897</v>
      </c>
      <c r="N2" t="n">
        <v>31.92171834</v>
      </c>
    </row>
    <row r="3">
      <c r="A3" t="inlineStr">
        <is>
          <t>OVAZ-01</t>
        </is>
      </c>
      <c r="B3" t="n">
        <v>2</v>
      </c>
      <c r="C3" t="inlineStr">
        <is>
          <t>(-109.98920986699994, 31.922120508000035)</t>
        </is>
      </c>
      <c r="D3" t="inlineStr">
        <is>
          <t>2P0797049095</t>
        </is>
      </c>
      <c r="E3" t="n">
        <v>35174335447</v>
      </c>
      <c r="F3" t="inlineStr">
        <is>
          <t>1635 Desert Star Ln #Unit 24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Single Phase</t>
        </is>
      </c>
      <c r="K3" t="inlineStr">
        <is>
          <t>Ocean View Feeder C</t>
        </is>
      </c>
      <c r="L3" t="inlineStr">
        <is>
          <t>C</t>
        </is>
      </c>
      <c r="M3" t="n">
        <v>-109.98920987</v>
      </c>
      <c r="N3" t="n">
        <v>31.92212051</v>
      </c>
    </row>
    <row r="4">
      <c r="A4" t="inlineStr">
        <is>
          <t>OVAZ-01</t>
        </is>
      </c>
      <c r="B4" t="n">
        <v>3</v>
      </c>
      <c r="C4" t="inlineStr">
        <is>
          <t>(-109.98950129499997, 31.92190283900004)</t>
        </is>
      </c>
      <c r="D4" t="inlineStr">
        <is>
          <t>3Q2437158557</t>
        </is>
      </c>
      <c r="E4" t="n">
        <v>94393035277</v>
      </c>
      <c r="F4" t="inlineStr">
        <is>
          <t>5606 Sandstone Way</t>
        </is>
      </c>
      <c r="G4" t="inlineStr">
        <is>
          <t>Ocean View</t>
        </is>
      </c>
      <c r="H4" t="inlineStr">
        <is>
          <t>Arizona</t>
        </is>
      </c>
      <c r="I4" t="inlineStr">
        <is>
          <t>96 Stratus QX</t>
        </is>
      </c>
      <c r="J4" t="inlineStr">
        <is>
          <t>Single Phase</t>
        </is>
      </c>
      <c r="K4" t="inlineStr">
        <is>
          <t>Ocean View Feeder C</t>
        </is>
      </c>
      <c r="L4" t="inlineStr">
        <is>
          <t>C</t>
        </is>
      </c>
      <c r="M4" t="n">
        <v>-109.98950129</v>
      </c>
      <c r="N4" t="n">
        <v>31.92190284</v>
      </c>
    </row>
    <row r="5">
      <c r="A5" t="inlineStr">
        <is>
          <t>OVAZ-01</t>
        </is>
      </c>
      <c r="B5" t="n">
        <v>4</v>
      </c>
      <c r="C5" t="inlineStr">
        <is>
          <t>(-109.98950329399997, 31.92172004400004)</t>
        </is>
      </c>
      <c r="D5" t="inlineStr">
        <is>
          <t>3Q9613533919</t>
        </is>
      </c>
      <c r="E5" t="n">
        <v>36523811061</v>
      </c>
      <c r="F5" t="inlineStr">
        <is>
          <t>6172 Sunrise Ct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Single Phase</t>
        </is>
      </c>
      <c r="K5" t="inlineStr">
        <is>
          <t>Ocean View Feeder C</t>
        </is>
      </c>
      <c r="L5" t="inlineStr">
        <is>
          <t>C</t>
        </is>
      </c>
      <c r="M5" t="n">
        <v>-109.98950329</v>
      </c>
      <c r="N5" t="n">
        <v>31.92172004</v>
      </c>
    </row>
    <row r="6">
      <c r="A6" t="inlineStr">
        <is>
          <t>OVAZ-01</t>
        </is>
      </c>
      <c r="B6" t="n">
        <v>5</v>
      </c>
      <c r="C6" t="inlineStr">
        <is>
          <t>(-109.98928697099996, 31.921901134000052)</t>
        </is>
      </c>
      <c r="D6" t="inlineStr">
        <is>
          <t>3Q6786258353</t>
        </is>
      </c>
      <c r="E6" t="n">
        <v>96752973876</v>
      </c>
      <c r="F6" t="inlineStr">
        <is>
          <t>1276 Cholla St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Single Phase</t>
        </is>
      </c>
      <c r="K6" t="inlineStr">
        <is>
          <t>Ocean View Feeder C</t>
        </is>
      </c>
      <c r="L6" t="inlineStr">
        <is>
          <t>C</t>
        </is>
      </c>
      <c r="M6" t="n">
        <v>-109.98928697</v>
      </c>
      <c r="N6" t="n">
        <v>31.92190113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8" customWidth="1" min="6" max="6"/>
    <col width="12" customWidth="1" min="7" max="7"/>
    <col width="9" customWidth="1" min="8" max="8"/>
    <col width="15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OVAZ-02</t>
        </is>
      </c>
      <c r="B2" t="n">
        <v>6</v>
      </c>
      <c r="C2" t="inlineStr">
        <is>
          <t>(-109.98418254499995, 31.917652523000072)</t>
        </is>
      </c>
      <c r="D2" t="inlineStr">
        <is>
          <t>1N6345736871</t>
        </is>
      </c>
      <c r="E2" t="n">
        <v>21889871781</v>
      </c>
      <c r="F2" t="inlineStr">
        <is>
          <t>6411 Cholla Ct</t>
        </is>
      </c>
      <c r="G2" t="inlineStr">
        <is>
          <t>Ocean View</t>
        </is>
      </c>
      <c r="H2" t="inlineStr">
        <is>
          <t>Arizona</t>
        </is>
      </c>
      <c r="I2" t="inlineStr">
        <is>
          <t>88 Solis MX</t>
        </is>
      </c>
      <c r="J2" t="inlineStr">
        <is>
          <t>Three Phase</t>
        </is>
      </c>
      <c r="K2" t="inlineStr">
        <is>
          <t>Ocean View Feeder C</t>
        </is>
      </c>
      <c r="L2" t="inlineStr">
        <is>
          <t>ABC</t>
        </is>
      </c>
      <c r="M2" t="n">
        <v>-109.98418254</v>
      </c>
      <c r="N2" t="n">
        <v>31.91765252</v>
      </c>
    </row>
    <row r="3">
      <c r="A3" t="inlineStr">
        <is>
          <t>OVAZ-02</t>
        </is>
      </c>
      <c r="B3" t="n">
        <v>7</v>
      </c>
      <c r="C3" t="inlineStr">
        <is>
          <t>(-109.98460715699997, 31.91802153900005)</t>
        </is>
      </c>
      <c r="D3" t="inlineStr">
        <is>
          <t>1N5578788327</t>
        </is>
      </c>
      <c r="E3" t="n">
        <v>18352106800</v>
      </c>
      <c r="F3" t="inlineStr">
        <is>
          <t>4599 Ocotillo Ridge Ct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Three Phase</t>
        </is>
      </c>
      <c r="K3" t="inlineStr">
        <is>
          <t>Ocean View Feeder C</t>
        </is>
      </c>
      <c r="L3" t="inlineStr">
        <is>
          <t>ABC</t>
        </is>
      </c>
      <c r="M3" t="n">
        <v>-109.98460716</v>
      </c>
      <c r="N3" t="n">
        <v>31.91802154</v>
      </c>
    </row>
    <row r="4">
      <c r="A4" t="inlineStr">
        <is>
          <t>OVAZ-02</t>
        </is>
      </c>
      <c r="B4" t="n">
        <v>8</v>
      </c>
      <c r="C4" t="inlineStr">
        <is>
          <t>(-109.98461117399995, 31.91765594900005)</t>
        </is>
      </c>
      <c r="D4" t="inlineStr">
        <is>
          <t>3Q5917846158</t>
        </is>
      </c>
      <c r="E4" t="n">
        <v>45118135356</v>
      </c>
      <c r="F4" t="inlineStr">
        <is>
          <t>2816 Agave Cir</t>
        </is>
      </c>
      <c r="G4" t="inlineStr">
        <is>
          <t>Ocean View</t>
        </is>
      </c>
      <c r="H4" t="inlineStr">
        <is>
          <t>Arizona</t>
        </is>
      </c>
      <c r="I4" t="inlineStr">
        <is>
          <t>96 Stratus QX</t>
        </is>
      </c>
      <c r="J4" t="inlineStr">
        <is>
          <t>Three Phase</t>
        </is>
      </c>
      <c r="K4" t="inlineStr">
        <is>
          <t>Ocean View Feeder C</t>
        </is>
      </c>
      <c r="L4" t="inlineStr">
        <is>
          <t>ABC</t>
        </is>
      </c>
      <c r="M4" t="n">
        <v>-109.98461117</v>
      </c>
      <c r="N4" t="n">
        <v>31.91765595</v>
      </c>
    </row>
    <row r="5">
      <c r="A5" t="inlineStr">
        <is>
          <t>OVAZ-02</t>
        </is>
      </c>
      <c r="B5" t="n">
        <v>9</v>
      </c>
      <c r="C5" t="inlineStr">
        <is>
          <t>(-109.98417852699998, 31.918018113000073)</t>
        </is>
      </c>
      <c r="D5" t="inlineStr">
        <is>
          <t>1N0118305744</t>
        </is>
      </c>
      <c r="E5" t="n">
        <v>31351380932</v>
      </c>
      <c r="F5" t="inlineStr">
        <is>
          <t>8983 Sandstone Ct #Unit 39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Three Phase</t>
        </is>
      </c>
      <c r="K5" t="inlineStr">
        <is>
          <t>Ocean View Feeder C</t>
        </is>
      </c>
      <c r="L5" t="inlineStr">
        <is>
          <t>ABC</t>
        </is>
      </c>
      <c r="M5" t="n">
        <v>-109.98417853</v>
      </c>
      <c r="N5" t="n">
        <v>31.91801811</v>
      </c>
    </row>
    <row r="6">
      <c r="A6" t="inlineStr">
        <is>
          <t>OVAZ-02</t>
        </is>
      </c>
      <c r="B6" t="n">
        <v>10</v>
      </c>
      <c r="C6" t="inlineStr">
        <is>
          <t>(-109.98418053599994, 31.917835318000073)</t>
        </is>
      </c>
      <c r="D6" t="inlineStr">
        <is>
          <t>2P3773876258</t>
        </is>
      </c>
      <c r="E6" t="n">
        <v>72610637013</v>
      </c>
      <c r="F6" t="inlineStr">
        <is>
          <t>1563 Saguaro St</t>
        </is>
      </c>
      <c r="G6" t="inlineStr">
        <is>
          <t>Ocean View</t>
        </is>
      </c>
      <c r="H6" t="inlineStr">
        <is>
          <t>Arizona</t>
        </is>
      </c>
      <c r="I6" t="inlineStr">
        <is>
          <t>96 Stratus QX</t>
        </is>
      </c>
      <c r="J6" t="inlineStr">
        <is>
          <t>Three Phase</t>
        </is>
      </c>
      <c r="K6" t="inlineStr">
        <is>
          <t>Ocean View Feeder C</t>
        </is>
      </c>
      <c r="L6" t="inlineStr">
        <is>
          <t>ABC</t>
        </is>
      </c>
      <c r="M6" t="n">
        <v>-109.98418054</v>
      </c>
      <c r="N6" t="n">
        <v>31.91783532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4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OVAZ-03</t>
        </is>
      </c>
      <c r="B2" t="n">
        <v>11</v>
      </c>
      <c r="C2" t="inlineStr">
        <is>
          <t>(-109.98238620099994, 31.918042443000047)</t>
        </is>
      </c>
      <c r="D2" t="inlineStr">
        <is>
          <t>3Q2374589713</t>
        </is>
      </c>
      <c r="E2" t="n">
        <v>59547856591</v>
      </c>
      <c r="F2" t="inlineStr">
        <is>
          <t>4043 Cholla Dr #Unit 4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Single Phase</t>
        </is>
      </c>
      <c r="K2" t="inlineStr">
        <is>
          <t>Ocean View Feeder B</t>
        </is>
      </c>
      <c r="L2" t="inlineStr">
        <is>
          <t>A</t>
        </is>
      </c>
      <c r="M2" t="n">
        <v>-109.9823862</v>
      </c>
      <c r="N2" t="n">
        <v>31.91804244</v>
      </c>
    </row>
    <row r="3">
      <c r="A3" t="inlineStr">
        <is>
          <t>OVAZ-03</t>
        </is>
      </c>
      <c r="B3" t="n">
        <v>12</v>
      </c>
      <c r="C3" t="inlineStr">
        <is>
          <t>(-109.98281080699996, 31.918411465000077)</t>
        </is>
      </c>
      <c r="D3" t="inlineStr">
        <is>
          <t>1N5807593504</t>
        </is>
      </c>
      <c r="E3" t="n">
        <v>22010416373</v>
      </c>
      <c r="F3" t="inlineStr">
        <is>
          <t>146 Agave Way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Single Phase</t>
        </is>
      </c>
      <c r="K3" t="inlineStr">
        <is>
          <t>Ocean View Feeder B</t>
        </is>
      </c>
      <c r="L3" t="inlineStr">
        <is>
          <t>A</t>
        </is>
      </c>
      <c r="M3" t="n">
        <v>-109.98281081</v>
      </c>
      <c r="N3" t="n">
        <v>31.91841147</v>
      </c>
    </row>
    <row r="4">
      <c r="A4" t="inlineStr">
        <is>
          <t>OVAZ-03</t>
        </is>
      </c>
      <c r="B4" t="n">
        <v>13</v>
      </c>
      <c r="C4" t="inlineStr">
        <is>
          <t>(-109.98238217599999, 31.91840803300005)</t>
        </is>
      </c>
      <c r="D4" t="inlineStr">
        <is>
          <t>2P9352389453</t>
        </is>
      </c>
      <c r="E4" t="n">
        <v>62493630971</v>
      </c>
      <c r="F4" t="inlineStr">
        <is>
          <t>9961 Sunrise Ave</t>
        </is>
      </c>
      <c r="G4" t="inlineStr">
        <is>
          <t>Ocean View</t>
        </is>
      </c>
      <c r="H4" t="inlineStr">
        <is>
          <t>Arizona</t>
        </is>
      </c>
      <c r="I4" t="inlineStr">
        <is>
          <t>109 Aclara kV3x</t>
        </is>
      </c>
      <c r="J4" t="inlineStr">
        <is>
          <t>Single Phase</t>
        </is>
      </c>
      <c r="K4" t="inlineStr">
        <is>
          <t>Ocean View Feeder B</t>
        </is>
      </c>
      <c r="L4" t="inlineStr">
        <is>
          <t>A</t>
        </is>
      </c>
      <c r="M4" t="n">
        <v>-109.98238218</v>
      </c>
      <c r="N4" t="n">
        <v>31.91840803</v>
      </c>
    </row>
    <row r="5">
      <c r="A5" t="inlineStr">
        <is>
          <t>OVAZ-03</t>
        </is>
      </c>
      <c r="B5" t="n">
        <v>14</v>
      </c>
      <c r="C5" t="inlineStr">
        <is>
          <t>(-109.98238418899996, 31.918225238000048)</t>
        </is>
      </c>
      <c r="D5" t="inlineStr">
        <is>
          <t>2P1822673382</t>
        </is>
      </c>
      <c r="E5" t="n">
        <v>82937900458</v>
      </c>
      <c r="F5" t="inlineStr">
        <is>
          <t>8987 Prickly Pear Dr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Single Phase</t>
        </is>
      </c>
      <c r="K5" t="inlineStr">
        <is>
          <t>Ocean View Feeder B</t>
        </is>
      </c>
      <c r="L5" t="inlineStr">
        <is>
          <t>A</t>
        </is>
      </c>
      <c r="M5" t="n">
        <v>-109.98238419</v>
      </c>
      <c r="N5" t="n">
        <v>31.91822524</v>
      </c>
    </row>
    <row r="6">
      <c r="A6" t="inlineStr">
        <is>
          <t>OVAZ-03</t>
        </is>
      </c>
      <c r="B6" t="n">
        <v>15</v>
      </c>
      <c r="C6" t="inlineStr">
        <is>
          <t>(-109.98281483099998, 31.918045876000065)</t>
        </is>
      </c>
      <c r="D6" t="inlineStr">
        <is>
          <t>2P4072679744</t>
        </is>
      </c>
      <c r="E6" t="n">
        <v>13985525454</v>
      </c>
      <c r="F6" t="inlineStr">
        <is>
          <t>7293 Desert Star Rd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Single Phase</t>
        </is>
      </c>
      <c r="K6" t="inlineStr">
        <is>
          <t>Ocean View Feeder B</t>
        </is>
      </c>
      <c r="L6" t="inlineStr">
        <is>
          <t>A</t>
        </is>
      </c>
      <c r="M6" t="n">
        <v>-109.98281483</v>
      </c>
      <c r="N6" t="n">
        <v>31.91804588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8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OVAZ-04</t>
        </is>
      </c>
      <c r="B2" t="n">
        <v>16</v>
      </c>
      <c r="C2" t="inlineStr">
        <is>
          <t>(-109.98344983999999, 31.916629079000074)</t>
        </is>
      </c>
      <c r="D2" t="inlineStr">
        <is>
          <t>2P4398505230</t>
        </is>
      </c>
      <c r="E2" t="n">
        <v>97134395673</v>
      </c>
      <c r="F2" t="inlineStr">
        <is>
          <t>4968 Copper Sky Ln #Unit 3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Single Phase</t>
        </is>
      </c>
      <c r="K2" t="inlineStr">
        <is>
          <t>Ocean View Feeder C</t>
        </is>
      </c>
      <c r="L2" t="inlineStr">
        <is>
          <t>C</t>
        </is>
      </c>
      <c r="M2" t="n">
        <v>-109.98344984</v>
      </c>
      <c r="N2" t="n">
        <v>31.91662908</v>
      </c>
    </row>
    <row r="3">
      <c r="A3" t="inlineStr">
        <is>
          <t>OVAZ-04</t>
        </is>
      </c>
      <c r="B3" t="n">
        <v>17</v>
      </c>
      <c r="C3" t="inlineStr">
        <is>
          <t>(-109.98344782999999, 31.916811874000075)</t>
        </is>
      </c>
      <c r="D3" t="inlineStr">
        <is>
          <t>3Q4103816972</t>
        </is>
      </c>
      <c r="E3" t="n">
        <v>62343983852</v>
      </c>
      <c r="F3" t="inlineStr">
        <is>
          <t>6591 Saguaro Cir #Unit 19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Single Phase</t>
        </is>
      </c>
      <c r="K3" t="inlineStr">
        <is>
          <t>Ocean View Feeder C</t>
        </is>
      </c>
      <c r="L3" t="inlineStr">
        <is>
          <t>C</t>
        </is>
      </c>
      <c r="M3" t="n">
        <v>-109.98344783</v>
      </c>
      <c r="N3" t="n">
        <v>31.91681187</v>
      </c>
    </row>
    <row r="4">
      <c r="A4" t="inlineStr">
        <is>
          <t>OVAZ-04</t>
        </is>
      </c>
      <c r="B4" t="n">
        <v>18</v>
      </c>
      <c r="C4" t="inlineStr">
        <is>
          <t>(-109.98344581899994, 31.916994669000076)</t>
        </is>
      </c>
      <c r="D4" t="inlineStr">
        <is>
          <t>2P6225379520</t>
        </is>
      </c>
      <c r="E4" t="n">
        <v>41871621602</v>
      </c>
      <c r="F4" t="inlineStr">
        <is>
          <t>6900 Dusty Mesa Cir</t>
        </is>
      </c>
      <c r="G4" t="inlineStr">
        <is>
          <t>Ocean View</t>
        </is>
      </c>
      <c r="H4" t="inlineStr">
        <is>
          <t>Arizona</t>
        </is>
      </c>
      <c r="I4" t="inlineStr">
        <is>
          <t>109 Aclara kV3x</t>
        </is>
      </c>
      <c r="J4" t="inlineStr">
        <is>
          <t>Single Phase</t>
        </is>
      </c>
      <c r="K4" t="inlineStr">
        <is>
          <t>Ocean View Feeder C</t>
        </is>
      </c>
      <c r="L4" t="inlineStr">
        <is>
          <t>C</t>
        </is>
      </c>
      <c r="M4" t="n">
        <v>-109.98344582</v>
      </c>
      <c r="N4" t="n">
        <v>31.91699467</v>
      </c>
    </row>
    <row r="5">
      <c r="A5" t="inlineStr">
        <is>
          <t>OVAZ-04</t>
        </is>
      </c>
      <c r="B5" t="n">
        <v>19</v>
      </c>
      <c r="C5" t="inlineStr">
        <is>
          <t>(-109.98387444399998, 31.91699809800008)</t>
        </is>
      </c>
      <c r="D5" t="inlineStr">
        <is>
          <t>3Q7361285737</t>
        </is>
      </c>
      <c r="E5" t="n">
        <v>13595095171</v>
      </c>
      <c r="F5" t="inlineStr">
        <is>
          <t>5521 Tortolita Cir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Single Phase</t>
        </is>
      </c>
      <c r="K5" t="inlineStr">
        <is>
          <t>Ocean View Feeder C</t>
        </is>
      </c>
      <c r="L5" t="inlineStr">
        <is>
          <t>C</t>
        </is>
      </c>
      <c r="M5" t="n">
        <v>-109.98387444</v>
      </c>
      <c r="N5" t="n">
        <v>31.9169981</v>
      </c>
    </row>
    <row r="6">
      <c r="A6" t="inlineStr">
        <is>
          <t>OVAZ-04</t>
        </is>
      </c>
      <c r="B6" t="n">
        <v>20</v>
      </c>
      <c r="C6" t="inlineStr">
        <is>
          <t>(-109.98387846299994, 31.916632508000077)</t>
        </is>
      </c>
      <c r="D6" t="inlineStr">
        <is>
          <t>1N5738854756</t>
        </is>
      </c>
      <c r="E6" t="n">
        <v>58256962276</v>
      </c>
      <c r="F6" t="inlineStr">
        <is>
          <t>6212 Mesquite Dr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Single Phase</t>
        </is>
      </c>
      <c r="K6" t="inlineStr">
        <is>
          <t>Ocean View Feeder C</t>
        </is>
      </c>
      <c r="L6" t="inlineStr">
        <is>
          <t>C</t>
        </is>
      </c>
      <c r="M6" t="n">
        <v>-109.98387846</v>
      </c>
      <c r="N6" t="n">
        <v>31.91663251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14" customWidth="1" min="4" max="4"/>
    <col width="16" customWidth="1" min="5" max="5"/>
    <col width="25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OVAZ-05</t>
        </is>
      </c>
      <c r="B2" t="n">
        <v>21</v>
      </c>
      <c r="C2" t="inlineStr">
        <is>
          <t>(-109.98479595899994, 31.91901759700005)</t>
        </is>
      </c>
      <c r="D2" t="inlineStr">
        <is>
          <t>2P5590360333</t>
        </is>
      </c>
      <c r="E2" t="n">
        <v>35033241436</v>
      </c>
      <c r="F2" t="inlineStr">
        <is>
          <t>2900 Mesquite Pl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Three Phase</t>
        </is>
      </c>
      <c r="K2" t="inlineStr">
        <is>
          <t>Ocean View Feeder A</t>
        </is>
      </c>
      <c r="L2" t="inlineStr">
        <is>
          <t>ABC</t>
        </is>
      </c>
      <c r="M2" t="n">
        <v>-109.98479596</v>
      </c>
      <c r="N2" t="n">
        <v>31.9190176</v>
      </c>
    </row>
    <row r="3">
      <c r="A3" t="inlineStr">
        <is>
          <t>OVAZ-05</t>
        </is>
      </c>
      <c r="B3" t="n">
        <v>22</v>
      </c>
      <c r="C3" t="inlineStr">
        <is>
          <t>(-109.98479395099997, 31.91920039200005)</t>
        </is>
      </c>
      <c r="D3" t="inlineStr">
        <is>
          <t>2P6794720441</t>
        </is>
      </c>
      <c r="E3" t="n">
        <v>93474268190</v>
      </c>
      <c r="F3" t="inlineStr">
        <is>
          <t>6237 Yucca Cir #Unit 24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Three Phase</t>
        </is>
      </c>
      <c r="K3" t="inlineStr">
        <is>
          <t>Ocean View Feeder A</t>
        </is>
      </c>
      <c r="L3" t="inlineStr">
        <is>
          <t>ABC</t>
        </is>
      </c>
      <c r="M3" t="n">
        <v>-109.98479395</v>
      </c>
      <c r="N3" t="n">
        <v>31.91920039</v>
      </c>
    </row>
    <row r="4">
      <c r="A4" t="inlineStr">
        <is>
          <t>OVAZ-05</t>
        </is>
      </c>
      <c r="B4" t="n">
        <v>23</v>
      </c>
      <c r="C4" t="inlineStr">
        <is>
          <t>(-109.98479194299995, 31.91938318600006)</t>
        </is>
      </c>
      <c r="D4" t="inlineStr">
        <is>
          <t>1N2915529607</t>
        </is>
      </c>
      <c r="E4" t="n">
        <v>90668400601</v>
      </c>
      <c r="F4" t="inlineStr">
        <is>
          <t>9678 Agave Rd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Three Phase</t>
        </is>
      </c>
      <c r="K4" t="inlineStr">
        <is>
          <t>Ocean View Feeder A</t>
        </is>
      </c>
      <c r="L4" t="inlineStr">
        <is>
          <t>ABC</t>
        </is>
      </c>
      <c r="M4" t="n">
        <v>-109.98479194</v>
      </c>
      <c r="N4" t="n">
        <v>31.91938319</v>
      </c>
    </row>
    <row r="5">
      <c r="A5" t="inlineStr">
        <is>
          <t>OVAZ-05</t>
        </is>
      </c>
      <c r="B5" t="n">
        <v>24</v>
      </c>
      <c r="C5" t="inlineStr">
        <is>
          <t>(-109.98522459399999, 31.91902102100005)</t>
        </is>
      </c>
      <c r="D5" t="inlineStr">
        <is>
          <t>3Q4872596155</t>
        </is>
      </c>
      <c r="E5" t="n">
        <v>60957117281</v>
      </c>
      <c r="F5" t="inlineStr">
        <is>
          <t>7736 Saguaro Rd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Three Phase</t>
        </is>
      </c>
      <c r="K5" t="inlineStr">
        <is>
          <t>Ocean View Feeder A</t>
        </is>
      </c>
      <c r="L5" t="inlineStr">
        <is>
          <t>ABC</t>
        </is>
      </c>
      <c r="M5" t="n">
        <v>-109.98522459</v>
      </c>
      <c r="N5" t="n">
        <v>31.91902102</v>
      </c>
    </row>
    <row r="6">
      <c r="A6" t="inlineStr">
        <is>
          <t>OVAZ-05</t>
        </is>
      </c>
      <c r="B6" t="n">
        <v>25</v>
      </c>
      <c r="C6" t="inlineStr">
        <is>
          <t>(-109.98522057899999, 31.91938661100005)</t>
        </is>
      </c>
      <c r="D6" t="inlineStr">
        <is>
          <t>2P1521510487</t>
        </is>
      </c>
      <c r="E6" t="n">
        <v>38654426824</v>
      </c>
      <c r="F6" t="inlineStr">
        <is>
          <t>254 Cholla Way #Unit 3</t>
        </is>
      </c>
      <c r="G6" t="inlineStr">
        <is>
          <t>Ocean View</t>
        </is>
      </c>
      <c r="H6" t="inlineStr">
        <is>
          <t>Arizona</t>
        </is>
      </c>
      <c r="I6" t="inlineStr">
        <is>
          <t>96 Stratus QX</t>
        </is>
      </c>
      <c r="J6" t="inlineStr">
        <is>
          <t>Three Phase</t>
        </is>
      </c>
      <c r="K6" t="inlineStr">
        <is>
          <t>Ocean View Feeder A</t>
        </is>
      </c>
      <c r="L6" t="inlineStr">
        <is>
          <t>ABC</t>
        </is>
      </c>
      <c r="M6" t="n">
        <v>-109.98522058</v>
      </c>
      <c r="N6" t="n">
        <v>31.91938661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5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OVAZ-06</t>
        </is>
      </c>
      <c r="B2" t="n">
        <v>26</v>
      </c>
      <c r="C2" t="inlineStr">
        <is>
          <t>(-109.98901515299997, 31.92040366300006)</t>
        </is>
      </c>
      <c r="D2" t="inlineStr">
        <is>
          <t>1N5574052597</t>
        </is>
      </c>
      <c r="E2" t="n">
        <v>23950949038</v>
      </c>
      <c r="F2" t="inlineStr">
        <is>
          <t>4079 Ocotillo Ridge Ave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Three Phase</t>
        </is>
      </c>
      <c r="K2" t="inlineStr">
        <is>
          <t>Ocean View Feeder B</t>
        </is>
      </c>
      <c r="L2" t="inlineStr">
        <is>
          <t>ABC</t>
        </is>
      </c>
      <c r="M2" t="n">
        <v>-109.98901515</v>
      </c>
      <c r="N2" t="n">
        <v>31.92040366</v>
      </c>
    </row>
    <row r="3">
      <c r="A3" t="inlineStr">
        <is>
          <t>OVAZ-06</t>
        </is>
      </c>
      <c r="B3" t="n">
        <v>27</v>
      </c>
      <c r="C3" t="inlineStr">
        <is>
          <t>(-109.98943979699999, 31.920772663000037)</t>
        </is>
      </c>
      <c r="D3" t="inlineStr">
        <is>
          <t>3Q1050717239</t>
        </is>
      </c>
      <c r="E3" t="n">
        <v>83675719598</v>
      </c>
      <c r="F3" t="inlineStr">
        <is>
          <t>904 Sunrise Ct #Unit 25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Three Phase</t>
        </is>
      </c>
      <c r="K3" t="inlineStr">
        <is>
          <t>Ocean View Feeder B</t>
        </is>
      </c>
      <c r="L3" t="inlineStr">
        <is>
          <t>ABC</t>
        </is>
      </c>
      <c r="M3" t="n">
        <v>-109.9894398</v>
      </c>
      <c r="N3" t="n">
        <v>31.92077266</v>
      </c>
    </row>
    <row r="4">
      <c r="A4" t="inlineStr">
        <is>
          <t>OVAZ-06</t>
        </is>
      </c>
      <c r="B4" t="n">
        <v>28</v>
      </c>
      <c r="C4" t="inlineStr">
        <is>
          <t>(-109.98944379499994, 31.920407073000035)</t>
        </is>
      </c>
      <c r="D4" t="inlineStr">
        <is>
          <t>3Q0138936337</t>
        </is>
      </c>
      <c r="E4" t="n">
        <v>42945027187</v>
      </c>
      <c r="F4" t="inlineStr">
        <is>
          <t>1477 Saguaro Ln</t>
        </is>
      </c>
      <c r="G4" t="inlineStr">
        <is>
          <t>Ocean View</t>
        </is>
      </c>
      <c r="H4" t="inlineStr">
        <is>
          <t>Arizona</t>
        </is>
      </c>
      <c r="I4" t="inlineStr">
        <is>
          <t>96 Stratus QX</t>
        </is>
      </c>
      <c r="J4" t="inlineStr">
        <is>
          <t>Three Phase</t>
        </is>
      </c>
      <c r="K4" t="inlineStr">
        <is>
          <t>Ocean View Feeder B</t>
        </is>
      </c>
      <c r="L4" t="inlineStr">
        <is>
          <t>ABC</t>
        </is>
      </c>
      <c r="M4" t="n">
        <v>-109.98944379</v>
      </c>
      <c r="N4" t="n">
        <v>31.92040707</v>
      </c>
    </row>
    <row r="5">
      <c r="A5" t="inlineStr">
        <is>
          <t>OVAZ-06</t>
        </is>
      </c>
      <c r="B5" t="n">
        <v>29</v>
      </c>
      <c r="C5" t="inlineStr">
        <is>
          <t>(-109.98901115299998, 31.92076925400005)</t>
        </is>
      </c>
      <c r="D5" t="inlineStr">
        <is>
          <t>2P0301961734</t>
        </is>
      </c>
      <c r="E5" t="n">
        <v>40701966659</v>
      </c>
      <c r="F5" t="inlineStr">
        <is>
          <t>1729 Yucca Rd</t>
        </is>
      </c>
      <c r="G5" t="inlineStr">
        <is>
          <t>Ocean View</t>
        </is>
      </c>
      <c r="H5" t="inlineStr">
        <is>
          <t>Arizona</t>
        </is>
      </c>
      <c r="I5" t="inlineStr">
        <is>
          <t>96 Stratus QX</t>
        </is>
      </c>
      <c r="J5" t="inlineStr">
        <is>
          <t>Three Phase</t>
        </is>
      </c>
      <c r="K5" t="inlineStr">
        <is>
          <t>Ocean View Feeder B</t>
        </is>
      </c>
      <c r="L5" t="inlineStr">
        <is>
          <t>ABC</t>
        </is>
      </c>
      <c r="M5" t="n">
        <v>-109.98901115</v>
      </c>
      <c r="N5" t="n">
        <v>31.92076925</v>
      </c>
    </row>
    <row r="6">
      <c r="A6" t="inlineStr">
        <is>
          <t>OVAZ-06</t>
        </is>
      </c>
      <c r="B6" t="n">
        <v>30</v>
      </c>
      <c r="C6" t="inlineStr">
        <is>
          <t>(-109.98901315299997, 31.92058645800006)</t>
        </is>
      </c>
      <c r="D6" t="inlineStr">
        <is>
          <t>1N1120551237</t>
        </is>
      </c>
      <c r="E6" t="n">
        <v>82336433969</v>
      </c>
      <c r="F6" t="inlineStr">
        <is>
          <t>4332 Copper Sky Pl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Three Phase</t>
        </is>
      </c>
      <c r="K6" t="inlineStr">
        <is>
          <t>Ocean View Feeder B</t>
        </is>
      </c>
      <c r="L6" t="inlineStr">
        <is>
          <t>ABC</t>
        </is>
      </c>
      <c r="M6" t="n">
        <v>-109.98901315</v>
      </c>
      <c r="N6" t="n">
        <v>31.92058646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0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OVAZ-07</t>
        </is>
      </c>
      <c r="B2" t="n">
        <v>31</v>
      </c>
      <c r="C2" t="inlineStr">
        <is>
          <t>(-109.98695460299996, 31.91873641600006)</t>
        </is>
      </c>
      <c r="D2" t="inlineStr">
        <is>
          <t>2P0105750830</t>
        </is>
      </c>
      <c r="E2" t="n">
        <v>40013541881</v>
      </c>
      <c r="F2" t="inlineStr">
        <is>
          <t>5355 Mesquite Ave</t>
        </is>
      </c>
      <c r="G2" t="inlineStr">
        <is>
          <t>Ocean View</t>
        </is>
      </c>
      <c r="H2" t="inlineStr">
        <is>
          <t>Arizona</t>
        </is>
      </c>
      <c r="I2" t="inlineStr">
        <is>
          <t>88 Solis MX</t>
        </is>
      </c>
      <c r="J2" t="inlineStr">
        <is>
          <t>Three Phase</t>
        </is>
      </c>
      <c r="K2" t="inlineStr">
        <is>
          <t>Ocean View Feeder A</t>
        </is>
      </c>
      <c r="L2" t="inlineStr">
        <is>
          <t>ABC</t>
        </is>
      </c>
      <c r="M2" t="n">
        <v>-109.9869546</v>
      </c>
      <c r="N2" t="n">
        <v>31.91873642</v>
      </c>
    </row>
    <row r="3">
      <c r="A3" t="inlineStr">
        <is>
          <t>OVAZ-07</t>
        </is>
      </c>
      <c r="B3" t="n">
        <v>32</v>
      </c>
      <c r="C3" t="inlineStr">
        <is>
          <t>(-109.98695259899995, 31.91891921100006)</t>
        </is>
      </c>
      <c r="D3" t="inlineStr">
        <is>
          <t>3Q8472119556</t>
        </is>
      </c>
      <c r="E3" t="n">
        <v>96039519390</v>
      </c>
      <c r="F3" t="inlineStr">
        <is>
          <t>1818 Saguaro St #Unit 11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Three Phase</t>
        </is>
      </c>
      <c r="K3" t="inlineStr">
        <is>
          <t>Ocean View Feeder A</t>
        </is>
      </c>
      <c r="L3" t="inlineStr">
        <is>
          <t>ABC</t>
        </is>
      </c>
      <c r="M3" t="n">
        <v>-109.9869526</v>
      </c>
      <c r="N3" t="n">
        <v>31.91891921</v>
      </c>
    </row>
    <row r="4">
      <c r="A4" t="inlineStr">
        <is>
          <t>OVAZ-07</t>
        </is>
      </c>
      <c r="B4" t="n">
        <v>33</v>
      </c>
      <c r="C4" t="inlineStr">
        <is>
          <t>(-109.98738323599997, 31.918739833000075)</t>
        </is>
      </c>
      <c r="D4" t="inlineStr">
        <is>
          <t>1N8844432174</t>
        </is>
      </c>
      <c r="E4" t="n">
        <v>13231518709</v>
      </c>
      <c r="F4" t="inlineStr">
        <is>
          <t>3841 Yucca Rd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Three Phase</t>
        </is>
      </c>
      <c r="K4" t="inlineStr">
        <is>
          <t>Ocean View Feeder A</t>
        </is>
      </c>
      <c r="L4" t="inlineStr">
        <is>
          <t>ABC</t>
        </is>
      </c>
      <c r="M4" t="n">
        <v>-109.98738324</v>
      </c>
      <c r="N4" t="n">
        <v>31.91873983</v>
      </c>
    </row>
    <row r="5">
      <c r="A5" t="inlineStr">
        <is>
          <t>OVAZ-07</t>
        </is>
      </c>
      <c r="B5" t="n">
        <v>34</v>
      </c>
      <c r="C5" t="inlineStr">
        <is>
          <t>(-109.98695059499994, 31.91910200600006)</t>
        </is>
      </c>
      <c r="D5" t="inlineStr">
        <is>
          <t>2P9931512369</t>
        </is>
      </c>
      <c r="E5" t="n">
        <v>83891886316</v>
      </c>
      <c r="F5" t="inlineStr">
        <is>
          <t>8323 Yucca Dr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Three Phase</t>
        </is>
      </c>
      <c r="K5" t="inlineStr">
        <is>
          <t>Ocean View Feeder A</t>
        </is>
      </c>
      <c r="L5" t="inlineStr">
        <is>
          <t>ABC</t>
        </is>
      </c>
      <c r="M5" t="n">
        <v>-109.98695059</v>
      </c>
      <c r="N5" t="n">
        <v>31.91910201</v>
      </c>
    </row>
    <row r="6">
      <c r="A6" t="inlineStr">
        <is>
          <t>OVAZ-07</t>
        </is>
      </c>
      <c r="B6" t="n">
        <v>35</v>
      </c>
      <c r="C6" t="inlineStr">
        <is>
          <t>(-109.98737922999999, 31.919105424000065)</t>
        </is>
      </c>
      <c r="D6" t="inlineStr">
        <is>
          <t>3Q0324885746</t>
        </is>
      </c>
      <c r="E6" t="n">
        <v>84910649136</v>
      </c>
      <c r="F6" t="inlineStr">
        <is>
          <t>9788 Desert Star Ave #Unit 8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Three Phase</t>
        </is>
      </c>
      <c r="K6" t="inlineStr">
        <is>
          <t>Ocean View Feeder A</t>
        </is>
      </c>
      <c r="L6" t="inlineStr">
        <is>
          <t>ABC</t>
        </is>
      </c>
      <c r="M6" t="n">
        <v>-109.98737923</v>
      </c>
      <c r="N6" t="n">
        <v>31.91910542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7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OVAZ-08</t>
        </is>
      </c>
      <c r="B2" t="n">
        <v>36</v>
      </c>
      <c r="C2" t="inlineStr">
        <is>
          <t>(-109.98841671599996, 31.919301493000034)</t>
        </is>
      </c>
      <c r="D2" t="inlineStr">
        <is>
          <t>3Q2606751364</t>
        </is>
      </c>
      <c r="E2" t="n">
        <v>39714746189</v>
      </c>
      <c r="F2" t="inlineStr">
        <is>
          <t>8883 Saguaro Ave #Unit 33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Single Phase</t>
        </is>
      </c>
      <c r="K2" t="inlineStr">
        <is>
          <t>Ocean View Feeder C</t>
        </is>
      </c>
      <c r="L2" t="inlineStr">
        <is>
          <t>C</t>
        </is>
      </c>
      <c r="M2" t="n">
        <v>-109.98841672</v>
      </c>
      <c r="N2" t="n">
        <v>31.91930149</v>
      </c>
    </row>
    <row r="3">
      <c r="A3" t="inlineStr">
        <is>
          <t>OVAZ-08</t>
        </is>
      </c>
      <c r="B3" t="n">
        <v>37</v>
      </c>
      <c r="C3" t="inlineStr">
        <is>
          <t>(-109.98884535299999, 31.919304905000047)</t>
        </is>
      </c>
      <c r="D3" t="inlineStr">
        <is>
          <t>3Q8250879034</t>
        </is>
      </c>
      <c r="E3" t="n">
        <v>20447072616</v>
      </c>
      <c r="F3" t="inlineStr">
        <is>
          <t>9921 Sunrise Ln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Single Phase</t>
        </is>
      </c>
      <c r="K3" t="inlineStr">
        <is>
          <t>Ocean View Feeder C</t>
        </is>
      </c>
      <c r="L3" t="inlineStr">
        <is>
          <t>C</t>
        </is>
      </c>
      <c r="M3" t="n">
        <v>-109.98884535</v>
      </c>
      <c r="N3" t="n">
        <v>31.91930491</v>
      </c>
    </row>
    <row r="4">
      <c r="A4" t="inlineStr">
        <is>
          <t>OVAZ-08</t>
        </is>
      </c>
      <c r="B4" t="n">
        <v>38</v>
      </c>
      <c r="C4" t="inlineStr">
        <is>
          <t>(-109.98884135299994, 31.919670496000037)</t>
        </is>
      </c>
      <c r="D4" t="inlineStr">
        <is>
          <t>2P2132941144</t>
        </is>
      </c>
      <c r="E4" t="n">
        <v>25080834600</v>
      </c>
      <c r="F4" t="inlineStr">
        <is>
          <t>2205 Gila Way</t>
        </is>
      </c>
      <c r="G4" t="inlineStr">
        <is>
          <t>Ocean View</t>
        </is>
      </c>
      <c r="H4" t="inlineStr">
        <is>
          <t>Arizona</t>
        </is>
      </c>
      <c r="I4" t="inlineStr">
        <is>
          <t>96 Stratus QX</t>
        </is>
      </c>
      <c r="J4" t="inlineStr">
        <is>
          <t>Single Phase</t>
        </is>
      </c>
      <c r="K4" t="inlineStr">
        <is>
          <t>Ocean View Feeder C</t>
        </is>
      </c>
      <c r="L4" t="inlineStr">
        <is>
          <t>C</t>
        </is>
      </c>
      <c r="M4" t="n">
        <v>-109.98884135</v>
      </c>
      <c r="N4" t="n">
        <v>31.9196705</v>
      </c>
    </row>
    <row r="5">
      <c r="A5" t="inlineStr">
        <is>
          <t>OVAZ-08</t>
        </is>
      </c>
      <c r="B5" t="n">
        <v>39</v>
      </c>
      <c r="C5" t="inlineStr">
        <is>
          <t>(-109.98841471599997, 31.919484288000035)</t>
        </is>
      </c>
      <c r="D5" t="inlineStr">
        <is>
          <t>3Q5036578284</t>
        </is>
      </c>
      <c r="E5" t="n">
        <v>31995247110</v>
      </c>
      <c r="F5" t="inlineStr">
        <is>
          <t>9084 Ocotillo Bloom Way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Single Phase</t>
        </is>
      </c>
      <c r="K5" t="inlineStr">
        <is>
          <t>Ocean View Feeder C</t>
        </is>
      </c>
      <c r="L5" t="inlineStr">
        <is>
          <t>C</t>
        </is>
      </c>
      <c r="M5" t="n">
        <v>-109.98841472</v>
      </c>
      <c r="N5" t="n">
        <v>31.91948429</v>
      </c>
    </row>
    <row r="6">
      <c r="A6" t="inlineStr">
        <is>
          <t>OVAZ-08</t>
        </is>
      </c>
      <c r="B6" t="n">
        <v>40</v>
      </c>
      <c r="C6" t="inlineStr">
        <is>
          <t>(-109.98841271499998, 31.919667083000036)</t>
        </is>
      </c>
      <c r="D6" t="inlineStr">
        <is>
          <t>1N2838123192</t>
        </is>
      </c>
      <c r="E6" t="n">
        <v>60230353562</v>
      </c>
      <c r="F6" t="inlineStr">
        <is>
          <t>407 Gila Ln #Unit 8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Single Phase</t>
        </is>
      </c>
      <c r="K6" t="inlineStr">
        <is>
          <t>Ocean View Feeder C</t>
        </is>
      </c>
      <c r="L6" t="inlineStr">
        <is>
          <t>C</t>
        </is>
      </c>
      <c r="M6" t="n">
        <v>-109.98841271</v>
      </c>
      <c r="N6" t="n">
        <v>31.91966708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2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OVAZ-09</t>
        </is>
      </c>
      <c r="B2" t="n">
        <v>41</v>
      </c>
      <c r="C2" t="inlineStr">
        <is>
          <t>(-109.98510274299997, 31.916456654000058)</t>
        </is>
      </c>
      <c r="D2" t="inlineStr">
        <is>
          <t>3Q6899800226</t>
        </is>
      </c>
      <c r="E2" t="n">
        <v>51317307845</v>
      </c>
      <c r="F2" t="inlineStr">
        <is>
          <t>5611 Jackrabbit Pl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Three Phase</t>
        </is>
      </c>
      <c r="K2" t="inlineStr">
        <is>
          <t>Ocean View Feeder C</t>
        </is>
      </c>
      <c r="L2" t="inlineStr">
        <is>
          <t>ABC</t>
        </is>
      </c>
      <c r="M2" t="n">
        <v>-109.98510274</v>
      </c>
      <c r="N2" t="n">
        <v>31.91645665</v>
      </c>
    </row>
    <row r="3">
      <c r="A3" t="inlineStr">
        <is>
          <t>OVAZ-09</t>
        </is>
      </c>
      <c r="B3" t="n">
        <v>42</v>
      </c>
      <c r="C3" t="inlineStr">
        <is>
          <t>(-109.98552735299995, 31.91682566700007)</t>
        </is>
      </c>
      <c r="D3" t="inlineStr">
        <is>
          <t>1N1281336169</t>
        </is>
      </c>
      <c r="E3" t="n">
        <v>32699845594</v>
      </c>
      <c r="F3" t="inlineStr">
        <is>
          <t>6312 Saguaro Bloom Rd #Unit 28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Three Phase</t>
        </is>
      </c>
      <c r="K3" t="inlineStr">
        <is>
          <t>Ocean View Feeder C</t>
        </is>
      </c>
      <c r="L3" t="inlineStr">
        <is>
          <t>ABC</t>
        </is>
      </c>
      <c r="M3" t="n">
        <v>-109.98552735</v>
      </c>
      <c r="N3" t="n">
        <v>31.91682567</v>
      </c>
    </row>
    <row r="4">
      <c r="A4" t="inlineStr">
        <is>
          <t>OVAZ-09</t>
        </is>
      </c>
      <c r="B4" t="n">
        <v>43</v>
      </c>
      <c r="C4" t="inlineStr">
        <is>
          <t>(-109.98509872899996, 31.91682224400006)</t>
        </is>
      </c>
      <c r="D4" t="inlineStr">
        <is>
          <t>2P8984958929</t>
        </is>
      </c>
      <c r="E4" t="n">
        <v>94152138648</v>
      </c>
      <c r="F4" t="inlineStr">
        <is>
          <t>7041 Saguaro Bloom Cir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Three Phase</t>
        </is>
      </c>
      <c r="K4" t="inlineStr">
        <is>
          <t>Ocean View Feeder C</t>
        </is>
      </c>
      <c r="L4" t="inlineStr">
        <is>
          <t>ABC</t>
        </is>
      </c>
      <c r="M4" t="n">
        <v>-109.98509873</v>
      </c>
      <c r="N4" t="n">
        <v>31.91682224</v>
      </c>
    </row>
    <row r="5">
      <c r="A5" t="inlineStr">
        <is>
          <t>OVAZ-09</t>
        </is>
      </c>
      <c r="B5" t="n">
        <v>44</v>
      </c>
      <c r="C5" t="inlineStr">
        <is>
          <t>(-109.98553136599998, 31.916460077000067)</t>
        </is>
      </c>
      <c r="D5" t="inlineStr">
        <is>
          <t>3Q4324859921</t>
        </is>
      </c>
      <c r="E5" t="n">
        <v>97831855562</v>
      </c>
      <c r="F5" t="inlineStr">
        <is>
          <t>4720 Cholla Ln #Unit 24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Three Phase</t>
        </is>
      </c>
      <c r="K5" t="inlineStr">
        <is>
          <t>Ocean View Feeder C</t>
        </is>
      </c>
      <c r="L5" t="inlineStr">
        <is>
          <t>ABC</t>
        </is>
      </c>
      <c r="M5" t="n">
        <v>-109.98553137</v>
      </c>
      <c r="N5" t="n">
        <v>31.91646008</v>
      </c>
    </row>
    <row r="6">
      <c r="A6" t="inlineStr">
        <is>
          <t>OVAZ-09</t>
        </is>
      </c>
      <c r="B6" t="n">
        <v>45</v>
      </c>
      <c r="C6" t="inlineStr">
        <is>
          <t>(-109.98510073599999, 31.91663944900006)</t>
        </is>
      </c>
      <c r="D6" t="inlineStr">
        <is>
          <t>3Q1340339699</t>
        </is>
      </c>
      <c r="E6" t="n">
        <v>38057984579</v>
      </c>
      <c r="F6" t="inlineStr">
        <is>
          <t>8801 Desert Star Cir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Three Phase</t>
        </is>
      </c>
      <c r="K6" t="inlineStr">
        <is>
          <t>Ocean View Feeder C</t>
        </is>
      </c>
      <c r="L6" t="inlineStr">
        <is>
          <t>ABC</t>
        </is>
      </c>
      <c r="M6" t="n">
        <v>-109.98510074</v>
      </c>
      <c r="N6" t="n">
        <v>31.91663945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4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OVAZ-10</t>
        </is>
      </c>
      <c r="B2" t="n">
        <v>46</v>
      </c>
      <c r="C2" t="inlineStr">
        <is>
          <t>(-109.98842226999994, 31.915409071000056)</t>
        </is>
      </c>
      <c r="D2" t="inlineStr">
        <is>
          <t>3Q1755000456</t>
        </is>
      </c>
      <c r="E2" t="n">
        <v>25176360524</v>
      </c>
      <c r="F2" t="inlineStr">
        <is>
          <t>2943 Gila Rd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Single Phase</t>
        </is>
      </c>
      <c r="K2" t="inlineStr">
        <is>
          <t>Ocean View Feeder A</t>
        </is>
      </c>
      <c r="L2" t="inlineStr">
        <is>
          <t>A</t>
        </is>
      </c>
      <c r="M2" t="n">
        <v>-109.98842227</v>
      </c>
      <c r="N2" t="n">
        <v>31.91540907</v>
      </c>
    </row>
    <row r="3">
      <c r="A3" t="inlineStr">
        <is>
          <t>OVAZ-10</t>
        </is>
      </c>
      <c r="B3" t="n">
        <v>47</v>
      </c>
      <c r="C3" t="inlineStr">
        <is>
          <t>(-109.98841826899996, 31.915774661000057)</t>
        </is>
      </c>
      <c r="D3" t="inlineStr">
        <is>
          <t>3Q9382560986</t>
        </is>
      </c>
      <c r="E3" t="n">
        <v>19650703635</v>
      </c>
      <c r="F3" t="inlineStr">
        <is>
          <t>2102 Agave Ave</t>
        </is>
      </c>
      <c r="G3" t="inlineStr">
        <is>
          <t>Ocean View</t>
        </is>
      </c>
      <c r="H3" t="inlineStr">
        <is>
          <t>Arizona</t>
        </is>
      </c>
      <c r="I3" t="inlineStr">
        <is>
          <t>96 Stratus QX</t>
        </is>
      </c>
      <c r="J3" t="inlineStr">
        <is>
          <t>Single Phase</t>
        </is>
      </c>
      <c r="K3" t="inlineStr">
        <is>
          <t>Ocean View Feeder A</t>
        </is>
      </c>
      <c r="L3" t="inlineStr">
        <is>
          <t>A</t>
        </is>
      </c>
      <c r="M3" t="n">
        <v>-109.98841827</v>
      </c>
      <c r="N3" t="n">
        <v>31.91577466</v>
      </c>
    </row>
    <row r="4">
      <c r="A4" t="inlineStr">
        <is>
          <t>OVAZ-10</t>
        </is>
      </c>
      <c r="B4" t="n">
        <v>48</v>
      </c>
      <c r="C4" t="inlineStr">
        <is>
          <t>(-109.98842026899996, 31.915591866000057)</t>
        </is>
      </c>
      <c r="D4" t="inlineStr">
        <is>
          <t>2P4222820407</t>
        </is>
      </c>
      <c r="E4" t="n">
        <v>23558209007</v>
      </c>
      <c r="F4" t="inlineStr">
        <is>
          <t>1477 Yucca Dr</t>
        </is>
      </c>
      <c r="G4" t="inlineStr">
        <is>
          <t>Ocean View</t>
        </is>
      </c>
      <c r="H4" t="inlineStr">
        <is>
          <t>Arizona</t>
        </is>
      </c>
      <c r="I4" t="inlineStr">
        <is>
          <t>109 Aclara kV3x</t>
        </is>
      </c>
      <c r="J4" t="inlineStr">
        <is>
          <t>Single Phase</t>
        </is>
      </c>
      <c r="K4" t="inlineStr">
        <is>
          <t>Ocean View Feeder A</t>
        </is>
      </c>
      <c r="L4" t="inlineStr">
        <is>
          <t>A</t>
        </is>
      </c>
      <c r="M4" t="n">
        <v>-109.98842027</v>
      </c>
      <c r="N4" t="n">
        <v>31.91559187</v>
      </c>
    </row>
    <row r="5">
      <c r="A5" t="inlineStr">
        <is>
          <t>OVAZ-10</t>
        </is>
      </c>
      <c r="B5" t="n">
        <v>49</v>
      </c>
      <c r="C5" t="inlineStr">
        <is>
          <t>(-109.98885088799994, 31.91541248300007)</t>
        </is>
      </c>
      <c r="D5" t="inlineStr">
        <is>
          <t>2P9040011407</t>
        </is>
      </c>
      <c r="E5" t="n">
        <v>17773248037</v>
      </c>
      <c r="F5" t="inlineStr">
        <is>
          <t>7044 Dusty Mesa Rd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Single Phase</t>
        </is>
      </c>
      <c r="K5" t="inlineStr">
        <is>
          <t>Ocean View Feeder A</t>
        </is>
      </c>
      <c r="L5" t="inlineStr">
        <is>
          <t>A</t>
        </is>
      </c>
      <c r="M5" t="n">
        <v>-109.98885089</v>
      </c>
      <c r="N5" t="n">
        <v>31.91541248</v>
      </c>
    </row>
    <row r="6">
      <c r="A6" t="inlineStr">
        <is>
          <t>OVAZ-10</t>
        </is>
      </c>
      <c r="B6" t="n">
        <v>50</v>
      </c>
      <c r="C6" t="inlineStr">
        <is>
          <t>(-109.98884688899994, 31.91577807300007)</t>
        </is>
      </c>
      <c r="D6" t="inlineStr">
        <is>
          <t>3Q3415337485</t>
        </is>
      </c>
      <c r="E6" t="n">
        <v>87238826442</v>
      </c>
      <c r="F6" t="inlineStr">
        <is>
          <t>1349 Ocotillo Bloom Ln</t>
        </is>
      </c>
      <c r="G6" t="inlineStr">
        <is>
          <t>Ocean View</t>
        </is>
      </c>
      <c r="H6" t="inlineStr">
        <is>
          <t>Arizona</t>
        </is>
      </c>
      <c r="I6" t="inlineStr">
        <is>
          <t>96 Stratus QX</t>
        </is>
      </c>
      <c r="J6" t="inlineStr">
        <is>
          <t>Single Phase</t>
        </is>
      </c>
      <c r="K6" t="inlineStr">
        <is>
          <t>Ocean View Feeder A</t>
        </is>
      </c>
      <c r="L6" t="inlineStr">
        <is>
          <t>A</t>
        </is>
      </c>
      <c r="M6" t="n">
        <v>-109.98884689</v>
      </c>
      <c r="N6" t="n">
        <v>31.91577807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6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OVAZ-11</t>
        </is>
      </c>
      <c r="B2" t="n">
        <v>51</v>
      </c>
      <c r="C2" t="inlineStr">
        <is>
          <t>(-109.98708866799996, 31.917768290000026)</t>
        </is>
      </c>
      <c r="D2" t="inlineStr">
        <is>
          <t>1N5235213978</t>
        </is>
      </c>
      <c r="E2" t="n">
        <v>19860411462</v>
      </c>
      <c r="F2" t="inlineStr">
        <is>
          <t>9803 Desert Star Way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Single Phase</t>
        </is>
      </c>
      <c r="K2" t="inlineStr">
        <is>
          <t>Ocean View Feeder B</t>
        </is>
      </c>
      <c r="L2" t="inlineStr">
        <is>
          <t>A</t>
        </is>
      </c>
      <c r="M2" t="n">
        <v>-109.98708867</v>
      </c>
      <c r="N2" t="n">
        <v>31.91776829</v>
      </c>
    </row>
    <row r="3">
      <c r="A3" t="inlineStr">
        <is>
          <t>OVAZ-11</t>
        </is>
      </c>
      <c r="B3" t="n">
        <v>52</v>
      </c>
      <c r="C3" t="inlineStr">
        <is>
          <t>(-109.98708666399995, 31.917951085000027)</t>
        </is>
      </c>
      <c r="D3" t="inlineStr">
        <is>
          <t>2P2400667784</t>
        </is>
      </c>
      <c r="E3" t="n">
        <v>14033968238</v>
      </c>
      <c r="F3" t="inlineStr">
        <is>
          <t>2762 Saguaro St #Unit 30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Single Phase</t>
        </is>
      </c>
      <c r="K3" t="inlineStr">
        <is>
          <t>Ocean View Feeder B</t>
        </is>
      </c>
      <c r="L3" t="inlineStr">
        <is>
          <t>A</t>
        </is>
      </c>
      <c r="M3" t="n">
        <v>-109.98708666</v>
      </c>
      <c r="N3" t="n">
        <v>31.91795109</v>
      </c>
    </row>
    <row r="4">
      <c r="A4" t="inlineStr">
        <is>
          <t>OVAZ-11</t>
        </is>
      </c>
      <c r="B4" t="n">
        <v>53</v>
      </c>
      <c r="C4" t="inlineStr">
        <is>
          <t>(-109.98751329099997, 31.918137297000044)</t>
        </is>
      </c>
      <c r="D4" t="inlineStr">
        <is>
          <t>1N6826214959</t>
        </is>
      </c>
      <c r="E4" t="n">
        <v>84611121746</v>
      </c>
      <c r="F4" t="inlineStr">
        <is>
          <t>6043 Agave Ct</t>
        </is>
      </c>
      <c r="G4" t="inlineStr">
        <is>
          <t>Ocean View</t>
        </is>
      </c>
      <c r="H4" t="inlineStr">
        <is>
          <t>Arizona</t>
        </is>
      </c>
      <c r="I4" t="inlineStr">
        <is>
          <t>109 Aclara kV3x</t>
        </is>
      </c>
      <c r="J4" t="inlineStr">
        <is>
          <t>Single Phase</t>
        </is>
      </c>
      <c r="K4" t="inlineStr">
        <is>
          <t>Ocean View Feeder B</t>
        </is>
      </c>
      <c r="L4" t="inlineStr">
        <is>
          <t>A</t>
        </is>
      </c>
      <c r="M4" t="n">
        <v>-109.98751329</v>
      </c>
      <c r="N4" t="n">
        <v>31.9181373</v>
      </c>
    </row>
    <row r="5">
      <c r="A5" t="inlineStr">
        <is>
          <t>OVAZ-11</t>
        </is>
      </c>
      <c r="B5" t="n">
        <v>54</v>
      </c>
      <c r="C5" t="inlineStr">
        <is>
          <t>(-109.98708466099998, 31.918133880000028)</t>
        </is>
      </c>
      <c r="D5" t="inlineStr">
        <is>
          <t>1N9633226035</t>
        </is>
      </c>
      <c r="E5" t="n">
        <v>97499091547</v>
      </c>
      <c r="F5" t="inlineStr">
        <is>
          <t>6985 Ocotillo Bloom Rd</t>
        </is>
      </c>
      <c r="G5" t="inlineStr">
        <is>
          <t>Ocean View</t>
        </is>
      </c>
      <c r="H5" t="inlineStr">
        <is>
          <t>Arizona</t>
        </is>
      </c>
      <c r="I5" t="inlineStr">
        <is>
          <t>96 Stratus QX</t>
        </is>
      </c>
      <c r="J5" t="inlineStr">
        <is>
          <t>Single Phase</t>
        </is>
      </c>
      <c r="K5" t="inlineStr">
        <is>
          <t>Ocean View Feeder B</t>
        </is>
      </c>
      <c r="L5" t="inlineStr">
        <is>
          <t>A</t>
        </is>
      </c>
      <c r="M5" t="n">
        <v>-109.98708466</v>
      </c>
      <c r="N5" t="n">
        <v>31.91813388</v>
      </c>
    </row>
    <row r="6">
      <c r="A6" t="inlineStr">
        <is>
          <t>OVAZ-11</t>
        </is>
      </c>
      <c r="B6" t="n">
        <v>55</v>
      </c>
      <c r="C6" t="inlineStr">
        <is>
          <t>(-109.98751729599996, 31.917771707000043)</t>
        </is>
      </c>
      <c r="D6" t="inlineStr">
        <is>
          <t>1N7133582746</t>
        </is>
      </c>
      <c r="E6" t="n">
        <v>42659976048</v>
      </c>
      <c r="F6" t="inlineStr">
        <is>
          <t>4018 Sunrise Ct #Unit 40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Single Phase</t>
        </is>
      </c>
      <c r="K6" t="inlineStr">
        <is>
          <t>Ocean View Feeder B</t>
        </is>
      </c>
      <c r="L6" t="inlineStr">
        <is>
          <t>A</t>
        </is>
      </c>
      <c r="M6" t="n">
        <v>-109.9875173</v>
      </c>
      <c r="N6" t="n">
        <v>31.91777171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6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OVAZ-12</t>
        </is>
      </c>
      <c r="B2" t="n">
        <v>56</v>
      </c>
      <c r="C2" t="inlineStr">
        <is>
          <t>(-109.98238030399995, 31.919758787000035)</t>
        </is>
      </c>
      <c r="D2" t="inlineStr">
        <is>
          <t>2P9565252536</t>
        </is>
      </c>
      <c r="E2" t="n">
        <v>71256585995</v>
      </c>
      <c r="F2" t="inlineStr">
        <is>
          <t>6148 Mesquite Rd</t>
        </is>
      </c>
      <c r="G2" t="inlineStr">
        <is>
          <t>Ocean View</t>
        </is>
      </c>
      <c r="H2" t="inlineStr">
        <is>
          <t>Arizona</t>
        </is>
      </c>
      <c r="I2" t="inlineStr">
        <is>
          <t>88 Solis MX</t>
        </is>
      </c>
      <c r="J2" t="inlineStr">
        <is>
          <t>Three Phase</t>
        </is>
      </c>
      <c r="K2" t="inlineStr">
        <is>
          <t>Ocean View Feeder C</t>
        </is>
      </c>
      <c r="L2" t="inlineStr">
        <is>
          <t>ABC</t>
        </is>
      </c>
      <c r="M2" t="n">
        <v>-109.9823803</v>
      </c>
      <c r="N2" t="n">
        <v>31.91975879</v>
      </c>
    </row>
    <row r="3">
      <c r="A3" t="inlineStr">
        <is>
          <t>OVAZ-12</t>
        </is>
      </c>
      <c r="B3" t="n">
        <v>57</v>
      </c>
      <c r="C3" t="inlineStr">
        <is>
          <t>(-109.982376279, 31.920124376000047)</t>
        </is>
      </c>
      <c r="D3" t="inlineStr">
        <is>
          <t>2P0394471027</t>
        </is>
      </c>
      <c r="E3" t="n">
        <v>89330777728</v>
      </c>
      <c r="F3" t="inlineStr">
        <is>
          <t>5466 Coyote Ave #Unit 31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Three Phase</t>
        </is>
      </c>
      <c r="K3" t="inlineStr">
        <is>
          <t>Ocean View Feeder C</t>
        </is>
      </c>
      <c r="L3" t="inlineStr">
        <is>
          <t>ABC</t>
        </is>
      </c>
      <c r="M3" t="n">
        <v>-109.98237628</v>
      </c>
      <c r="N3" t="n">
        <v>31.92012438</v>
      </c>
    </row>
    <row r="4">
      <c r="A4" t="inlineStr">
        <is>
          <t>OVAZ-12</t>
        </is>
      </c>
      <c r="B4" t="n">
        <v>58</v>
      </c>
      <c r="C4" t="inlineStr">
        <is>
          <t>(-109.98280491799994, 31.920127809000064)</t>
        </is>
      </c>
      <c r="D4" t="inlineStr">
        <is>
          <t>2P7599560629</t>
        </is>
      </c>
      <c r="E4" t="n">
        <v>22147158231</v>
      </c>
      <c r="F4" t="inlineStr">
        <is>
          <t>8945 Gila Pl #Unit 25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Three Phase</t>
        </is>
      </c>
      <c r="K4" t="inlineStr">
        <is>
          <t>Ocean View Feeder C</t>
        </is>
      </c>
      <c r="L4" t="inlineStr">
        <is>
          <t>ABC</t>
        </is>
      </c>
      <c r="M4" t="n">
        <v>-109.98280492</v>
      </c>
      <c r="N4" t="n">
        <v>31.92012781</v>
      </c>
    </row>
    <row r="5">
      <c r="A5" t="inlineStr">
        <is>
          <t>OVAZ-12</t>
        </is>
      </c>
      <c r="B5" t="n">
        <v>59</v>
      </c>
      <c r="C5" t="inlineStr">
        <is>
          <t>(-109.98280894199996, 31.919762219000063)</t>
        </is>
      </c>
      <c r="D5" t="inlineStr">
        <is>
          <t>3Q0345465955</t>
        </is>
      </c>
      <c r="E5" t="n">
        <v>11757775878</v>
      </c>
      <c r="F5" t="inlineStr">
        <is>
          <t>8255 Jackrabbit Ln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Three Phase</t>
        </is>
      </c>
      <c r="K5" t="inlineStr">
        <is>
          <t>Ocean View Feeder C</t>
        </is>
      </c>
      <c r="L5" t="inlineStr">
        <is>
          <t>ABC</t>
        </is>
      </c>
      <c r="M5" t="n">
        <v>-109.98280894</v>
      </c>
      <c r="N5" t="n">
        <v>31.91976222</v>
      </c>
    </row>
    <row r="6">
      <c r="A6" t="inlineStr">
        <is>
          <t>OVAZ-12</t>
        </is>
      </c>
      <c r="B6" t="n">
        <v>60</v>
      </c>
      <c r="C6" t="inlineStr">
        <is>
          <t>(-109.98237829199996, 31.919941581000046)</t>
        </is>
      </c>
      <c r="D6" t="inlineStr">
        <is>
          <t>2P1753306393</t>
        </is>
      </c>
      <c r="E6" t="n">
        <v>58175743925</v>
      </c>
      <c r="F6" t="inlineStr">
        <is>
          <t>153 Saguaro Bloom Rd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Three Phase</t>
        </is>
      </c>
      <c r="K6" t="inlineStr">
        <is>
          <t>Ocean View Feeder C</t>
        </is>
      </c>
      <c r="L6" t="inlineStr">
        <is>
          <t>ABC</t>
        </is>
      </c>
      <c r="M6" t="n">
        <v>-109.98237829</v>
      </c>
      <c r="N6" t="n">
        <v>31.91994158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9" customWidth="1" min="6" max="6"/>
    <col width="12" customWidth="1" min="7" max="7"/>
    <col width="9" customWidth="1" min="8" max="8"/>
    <col width="15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OVAZ-13</t>
        </is>
      </c>
      <c r="B2" t="n">
        <v>61</v>
      </c>
      <c r="C2" t="inlineStr">
        <is>
          <t>(-109.98213600599996, 31.920852628000034)</t>
        </is>
      </c>
      <c r="D2" t="inlineStr">
        <is>
          <t>1N1930976138</t>
        </is>
      </c>
      <c r="E2" t="n">
        <v>31012362615</v>
      </c>
      <c r="F2" t="inlineStr">
        <is>
          <t>581 Coyote Ave #Unit 15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Single Phase</t>
        </is>
      </c>
      <c r="K2" t="inlineStr">
        <is>
          <t>Ocean View Feeder B</t>
        </is>
      </c>
      <c r="L2" t="inlineStr">
        <is>
          <t>B</t>
        </is>
      </c>
      <c r="M2" t="n">
        <v>-109.98213601</v>
      </c>
      <c r="N2" t="n">
        <v>31.92085263</v>
      </c>
    </row>
    <row r="3">
      <c r="A3" t="inlineStr">
        <is>
          <t>OVAZ-13</t>
        </is>
      </c>
      <c r="B3" t="n">
        <v>62</v>
      </c>
      <c r="C3" t="inlineStr">
        <is>
          <t>(-109.98213399199994, 31.921035422000045)</t>
        </is>
      </c>
      <c r="D3" t="inlineStr">
        <is>
          <t>2P3766936045</t>
        </is>
      </c>
      <c r="E3" t="n">
        <v>28704694209</v>
      </c>
      <c r="F3" t="inlineStr">
        <is>
          <t>8657 Sunrise Pl</t>
        </is>
      </c>
      <c r="G3" t="inlineStr">
        <is>
          <t>Ocean View</t>
        </is>
      </c>
      <c r="H3" t="inlineStr">
        <is>
          <t>Arizona</t>
        </is>
      </c>
      <c r="I3" t="inlineStr">
        <is>
          <t>96 Stratus QX</t>
        </is>
      </c>
      <c r="J3" t="inlineStr">
        <is>
          <t>Single Phase</t>
        </is>
      </c>
      <c r="K3" t="inlineStr">
        <is>
          <t>Ocean View Feeder B</t>
        </is>
      </c>
      <c r="L3" t="inlineStr">
        <is>
          <t>B</t>
        </is>
      </c>
      <c r="M3" t="n">
        <v>-109.98213399</v>
      </c>
      <c r="N3" t="n">
        <v>31.92103542</v>
      </c>
    </row>
    <row r="4">
      <c r="A4" t="inlineStr">
        <is>
          <t>OVAZ-13</t>
        </is>
      </c>
      <c r="B4" t="n">
        <v>63</v>
      </c>
      <c r="C4" t="inlineStr">
        <is>
          <t>(-109.98256464899998, 31.920856061000052)</t>
        </is>
      </c>
      <c r="D4" t="inlineStr">
        <is>
          <t>1N8530151336</t>
        </is>
      </c>
      <c r="E4" t="n">
        <v>34779752903</v>
      </c>
      <c r="F4" t="inlineStr">
        <is>
          <t>3824 Copper Sky Ln #Unit 24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Single Phase</t>
        </is>
      </c>
      <c r="K4" t="inlineStr">
        <is>
          <t>Ocean View Feeder B</t>
        </is>
      </c>
      <c r="L4" t="inlineStr">
        <is>
          <t>B</t>
        </is>
      </c>
      <c r="M4" t="n">
        <v>-109.98256465</v>
      </c>
      <c r="N4" t="n">
        <v>31.92085606</v>
      </c>
    </row>
    <row r="5">
      <c r="A5" t="inlineStr">
        <is>
          <t>OVAZ-13</t>
        </is>
      </c>
      <c r="B5" t="n">
        <v>64</v>
      </c>
      <c r="C5" t="inlineStr">
        <is>
          <t>(-109.98256062299998, 31.921221651000053)</t>
        </is>
      </c>
      <c r="D5" t="inlineStr">
        <is>
          <t>1N6440084052</t>
        </is>
      </c>
      <c r="E5" t="n">
        <v>46961452106</v>
      </c>
      <c r="F5" t="inlineStr">
        <is>
          <t>7631 Prickly Pear Ct</t>
        </is>
      </c>
      <c r="G5" t="inlineStr">
        <is>
          <t>Ocean View</t>
        </is>
      </c>
      <c r="H5" t="inlineStr">
        <is>
          <t>Arizona</t>
        </is>
      </c>
      <c r="I5" t="inlineStr">
        <is>
          <t>96 Stratus QX</t>
        </is>
      </c>
      <c r="J5" t="inlineStr">
        <is>
          <t>Single Phase</t>
        </is>
      </c>
      <c r="K5" t="inlineStr">
        <is>
          <t>Ocean View Feeder B</t>
        </is>
      </c>
      <c r="L5" t="inlineStr">
        <is>
          <t>B</t>
        </is>
      </c>
      <c r="M5" t="n">
        <v>-109.98256062</v>
      </c>
      <c r="N5" t="n">
        <v>31.92122165</v>
      </c>
    </row>
    <row r="6">
      <c r="A6" t="inlineStr">
        <is>
          <t>OVAZ-13</t>
        </is>
      </c>
      <c r="B6" t="n">
        <v>65</v>
      </c>
      <c r="C6" t="inlineStr">
        <is>
          <t>(-109.98213197899997, 31.921218217000046)</t>
        </is>
      </c>
      <c r="D6" t="inlineStr">
        <is>
          <t>3Q5929017967</t>
        </is>
      </c>
      <c r="E6" t="n">
        <v>40497697947</v>
      </c>
      <c r="F6" t="inlineStr">
        <is>
          <t>3289 Gila Pl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Single Phase</t>
        </is>
      </c>
      <c r="K6" t="inlineStr">
        <is>
          <t>Ocean View Feeder B</t>
        </is>
      </c>
      <c r="L6" t="inlineStr">
        <is>
          <t>B</t>
        </is>
      </c>
      <c r="M6" t="n">
        <v>-109.98213198</v>
      </c>
      <c r="N6" t="n">
        <v>31.92121822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4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OVAZ-14</t>
        </is>
      </c>
      <c r="B2" t="n">
        <v>66</v>
      </c>
      <c r="C2" t="inlineStr">
        <is>
          <t>(-109.98651435399995, 31.915562257000033)</t>
        </is>
      </c>
      <c r="D2" t="inlineStr">
        <is>
          <t>1N0333860990</t>
        </is>
      </c>
      <c r="E2" t="n">
        <v>52276255947</v>
      </c>
      <c r="F2" t="inlineStr">
        <is>
          <t>8039 Coyote Ln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Single Phase</t>
        </is>
      </c>
      <c r="K2" t="inlineStr">
        <is>
          <t>Ocean View Feeder C</t>
        </is>
      </c>
      <c r="L2" t="inlineStr">
        <is>
          <t>C</t>
        </is>
      </c>
      <c r="M2" t="n">
        <v>-109.98651435</v>
      </c>
      <c r="N2" t="n">
        <v>31.91556226</v>
      </c>
    </row>
    <row r="3">
      <c r="A3" t="inlineStr">
        <is>
          <t>OVAZ-14</t>
        </is>
      </c>
      <c r="B3" t="n">
        <v>67</v>
      </c>
      <c r="C3" t="inlineStr">
        <is>
          <t>(-109.98651034499994, 31.915927848000024)</t>
        </is>
      </c>
      <c r="D3" t="inlineStr">
        <is>
          <t>1N3462318819</t>
        </is>
      </c>
      <c r="E3" t="n">
        <v>65444392043</v>
      </c>
      <c r="F3" t="inlineStr">
        <is>
          <t>6278 Ocotillo Bloom Ct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Single Phase</t>
        </is>
      </c>
      <c r="K3" t="inlineStr">
        <is>
          <t>Ocean View Feeder C</t>
        </is>
      </c>
      <c r="L3" t="inlineStr">
        <is>
          <t>C</t>
        </is>
      </c>
      <c r="M3" t="n">
        <v>-109.98651034</v>
      </c>
      <c r="N3" t="n">
        <v>31.91592785</v>
      </c>
    </row>
    <row r="4">
      <c r="A4" t="inlineStr">
        <is>
          <t>OVAZ-14</t>
        </is>
      </c>
      <c r="B4" t="n">
        <v>68</v>
      </c>
      <c r="C4" t="inlineStr">
        <is>
          <t>(-109.98651234899995, 31.915745052000034)</t>
        </is>
      </c>
      <c r="D4" t="inlineStr">
        <is>
          <t>2P7757889762</t>
        </is>
      </c>
      <c r="E4" t="n">
        <v>90546664287</v>
      </c>
      <c r="F4" t="inlineStr">
        <is>
          <t>976 Coyote Pl</t>
        </is>
      </c>
      <c r="G4" t="inlineStr">
        <is>
          <t>Ocean View</t>
        </is>
      </c>
      <c r="H4" t="inlineStr">
        <is>
          <t>Arizona</t>
        </is>
      </c>
      <c r="I4" t="inlineStr">
        <is>
          <t>96 Stratus QX</t>
        </is>
      </c>
      <c r="J4" t="inlineStr">
        <is>
          <t>Single Phase</t>
        </is>
      </c>
      <c r="K4" t="inlineStr">
        <is>
          <t>Ocean View Feeder C</t>
        </is>
      </c>
      <c r="L4" t="inlineStr">
        <is>
          <t>C</t>
        </is>
      </c>
      <c r="M4" t="n">
        <v>-109.98651235</v>
      </c>
      <c r="N4" t="n">
        <v>31.91574505</v>
      </c>
    </row>
    <row r="5">
      <c r="A5" t="inlineStr">
        <is>
          <t>OVAZ-14</t>
        </is>
      </c>
      <c r="B5" t="n">
        <v>69</v>
      </c>
      <c r="C5" t="inlineStr">
        <is>
          <t>(-109.98694297199995, 31.91556567600003)</t>
        </is>
      </c>
      <c r="D5" t="inlineStr">
        <is>
          <t>1N0599669892</t>
        </is>
      </c>
      <c r="E5" t="n">
        <v>32758880311</v>
      </c>
      <c r="F5" t="inlineStr">
        <is>
          <t>152 Gila Ct</t>
        </is>
      </c>
      <c r="G5" t="inlineStr">
        <is>
          <t>Ocean View</t>
        </is>
      </c>
      <c r="H5" t="inlineStr">
        <is>
          <t>Arizona</t>
        </is>
      </c>
      <c r="I5" t="inlineStr">
        <is>
          <t>96 Stratus QX</t>
        </is>
      </c>
      <c r="J5" t="inlineStr">
        <is>
          <t>Single Phase</t>
        </is>
      </c>
      <c r="K5" t="inlineStr">
        <is>
          <t>Ocean View Feeder C</t>
        </is>
      </c>
      <c r="L5" t="inlineStr">
        <is>
          <t>C</t>
        </is>
      </c>
      <c r="M5" t="n">
        <v>-109.98694297</v>
      </c>
      <c r="N5" t="n">
        <v>31.91556568</v>
      </c>
    </row>
    <row r="6">
      <c r="A6" t="inlineStr">
        <is>
          <t>OVAZ-14</t>
        </is>
      </c>
      <c r="B6" t="n">
        <v>70</v>
      </c>
      <c r="C6" t="inlineStr">
        <is>
          <t>(-109.98693896499998, 31.91593126600003)</t>
        </is>
      </c>
      <c r="D6" t="inlineStr">
        <is>
          <t>3Q6443759606</t>
        </is>
      </c>
      <c r="E6" t="n">
        <v>87671835068</v>
      </c>
      <c r="F6" t="inlineStr">
        <is>
          <t>8051 Yucca Pl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Single Phase</t>
        </is>
      </c>
      <c r="K6" t="inlineStr">
        <is>
          <t>Ocean View Feeder C</t>
        </is>
      </c>
      <c r="L6" t="inlineStr">
        <is>
          <t>C</t>
        </is>
      </c>
      <c r="M6" t="n">
        <v>-109.98693896</v>
      </c>
      <c r="N6" t="n">
        <v>31.91593127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2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OVAZ-15</t>
        </is>
      </c>
      <c r="B2" t="n">
        <v>71</v>
      </c>
      <c r="C2" t="inlineStr">
        <is>
          <t>(-109.98874958899995, 31.91806100000008)</t>
        </is>
      </c>
      <c r="D2" t="inlineStr">
        <is>
          <t>1N9995164711</t>
        </is>
      </c>
      <c r="E2" t="n">
        <v>77829098751</v>
      </c>
      <c r="F2" t="inlineStr">
        <is>
          <t>409 Prickly Pear Way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Three Phase</t>
        </is>
      </c>
      <c r="K2" t="inlineStr">
        <is>
          <t>Ocean View Feeder A</t>
        </is>
      </c>
      <c r="L2" t="inlineStr">
        <is>
          <t>ABC</t>
        </is>
      </c>
      <c r="M2" t="n">
        <v>-109.98874959</v>
      </c>
      <c r="N2" t="n">
        <v>31.918061</v>
      </c>
    </row>
    <row r="3">
      <c r="A3" t="inlineStr">
        <is>
          <t>OVAZ-15</t>
        </is>
      </c>
      <c r="B3" t="n">
        <v>72</v>
      </c>
      <c r="C3" t="inlineStr">
        <is>
          <t>(-109.98917821899994, 31.918064411000046)</t>
        </is>
      </c>
      <c r="D3" t="inlineStr">
        <is>
          <t>3Q1602199219</t>
        </is>
      </c>
      <c r="E3" t="n">
        <v>80335847383</v>
      </c>
      <c r="F3" t="inlineStr">
        <is>
          <t>2648 Ocotillo Bloom St #Unit 4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Three Phase</t>
        </is>
      </c>
      <c r="K3" t="inlineStr">
        <is>
          <t>Ocean View Feeder A</t>
        </is>
      </c>
      <c r="L3" t="inlineStr">
        <is>
          <t>ABC</t>
        </is>
      </c>
      <c r="M3" t="n">
        <v>-109.98917822</v>
      </c>
      <c r="N3" t="n">
        <v>31.91806441</v>
      </c>
    </row>
    <row r="4">
      <c r="A4" t="inlineStr">
        <is>
          <t>OVAZ-15</t>
        </is>
      </c>
      <c r="B4" t="n">
        <v>73</v>
      </c>
      <c r="C4" t="inlineStr">
        <is>
          <t>(-109.98874758799997, 31.918243795000024)</t>
        </is>
      </c>
      <c r="D4" t="inlineStr">
        <is>
          <t>2P9344939852</t>
        </is>
      </c>
      <c r="E4" t="n">
        <v>13661569191</v>
      </c>
      <c r="F4" t="inlineStr">
        <is>
          <t>6211 Cholla Rd #Unit 2</t>
        </is>
      </c>
      <c r="G4" t="inlineStr">
        <is>
          <t>Ocean View</t>
        </is>
      </c>
      <c r="H4" t="inlineStr">
        <is>
          <t>Arizona</t>
        </is>
      </c>
      <c r="I4" t="inlineStr">
        <is>
          <t>109 Aclara kV3x</t>
        </is>
      </c>
      <c r="J4" t="inlineStr">
        <is>
          <t>Three Phase</t>
        </is>
      </c>
      <c r="K4" t="inlineStr">
        <is>
          <t>Ocean View Feeder A</t>
        </is>
      </c>
      <c r="L4" t="inlineStr">
        <is>
          <t>ABC</t>
        </is>
      </c>
      <c r="M4" t="n">
        <v>-109.98874759</v>
      </c>
      <c r="N4" t="n">
        <v>31.9182438</v>
      </c>
    </row>
    <row r="5">
      <c r="A5" t="inlineStr">
        <is>
          <t>OVAZ-15</t>
        </is>
      </c>
      <c r="B5" t="n">
        <v>74</v>
      </c>
      <c r="C5" t="inlineStr">
        <is>
          <t>(-109.98874558899996, 31.918426590000024)</t>
        </is>
      </c>
      <c r="D5" t="inlineStr">
        <is>
          <t>3Q2699517175</t>
        </is>
      </c>
      <c r="E5" t="n">
        <v>31920172153</v>
      </c>
      <c r="F5" t="inlineStr">
        <is>
          <t>6229 Agave Ave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Three Phase</t>
        </is>
      </c>
      <c r="K5" t="inlineStr">
        <is>
          <t>Ocean View Feeder A</t>
        </is>
      </c>
      <c r="L5" t="inlineStr">
        <is>
          <t>ABC</t>
        </is>
      </c>
      <c r="M5" t="n">
        <v>-109.98874559</v>
      </c>
      <c r="N5" t="n">
        <v>31.91842659</v>
      </c>
    </row>
    <row r="6">
      <c r="A6" t="inlineStr">
        <is>
          <t>OVAZ-15</t>
        </is>
      </c>
      <c r="B6" t="n">
        <v>75</v>
      </c>
      <c r="C6" t="inlineStr">
        <is>
          <t>(-109.98917422099998, 31.918430001000047)</t>
        </is>
      </c>
      <c r="D6" t="inlineStr">
        <is>
          <t>3Q3177001081</t>
        </is>
      </c>
      <c r="E6" t="n">
        <v>98383863997</v>
      </c>
      <c r="F6" t="inlineStr">
        <is>
          <t>5596 Dusty Mesa Dr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Three Phase</t>
        </is>
      </c>
      <c r="K6" t="inlineStr">
        <is>
          <t>Ocean View Feeder A</t>
        </is>
      </c>
      <c r="L6" t="inlineStr">
        <is>
          <t>ABC</t>
        </is>
      </c>
      <c r="M6" t="n">
        <v>-109.98917422</v>
      </c>
      <c r="N6" t="n">
        <v>31.91843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1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OVAZ-16</t>
        </is>
      </c>
      <c r="B2" t="n">
        <v>76</v>
      </c>
      <c r="C2" t="inlineStr">
        <is>
          <t>(-109.98717888999994, 31.921419575000073)</t>
        </is>
      </c>
      <c r="D2" t="inlineStr">
        <is>
          <t>2P9310242826</t>
        </is>
      </c>
      <c r="E2" t="n">
        <v>54891726166</v>
      </c>
      <c r="F2" t="inlineStr">
        <is>
          <t>872 Agave Cir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Three Phase</t>
        </is>
      </c>
      <c r="K2" t="inlineStr">
        <is>
          <t>Ocean View Feeder A</t>
        </is>
      </c>
      <c r="L2" t="inlineStr">
        <is>
          <t>ABC</t>
        </is>
      </c>
      <c r="M2" t="n">
        <v>-109.98717889</v>
      </c>
      <c r="N2" t="n">
        <v>31.92141958</v>
      </c>
    </row>
    <row r="3">
      <c r="A3" t="inlineStr">
        <is>
          <t>OVAZ-16</t>
        </is>
      </c>
      <c r="B3" t="n">
        <v>77</v>
      </c>
      <c r="C3" t="inlineStr">
        <is>
          <t>(-109.98760753599998, 31.921422991000043)</t>
        </is>
      </c>
      <c r="D3" t="inlineStr">
        <is>
          <t>3Q2591050160</t>
        </is>
      </c>
      <c r="E3" t="n">
        <v>70713606089</v>
      </c>
      <c r="F3" t="inlineStr">
        <is>
          <t>6331 Coyote Ct</t>
        </is>
      </c>
      <c r="G3" t="inlineStr">
        <is>
          <t>Ocean View</t>
        </is>
      </c>
      <c r="H3" t="inlineStr">
        <is>
          <t>Arizona</t>
        </is>
      </c>
      <c r="I3" t="inlineStr">
        <is>
          <t>96 Stratus QX</t>
        </is>
      </c>
      <c r="J3" t="inlineStr">
        <is>
          <t>Three Phase</t>
        </is>
      </c>
      <c r="K3" t="inlineStr">
        <is>
          <t>Ocean View Feeder A</t>
        </is>
      </c>
      <c r="L3" t="inlineStr">
        <is>
          <t>ABC</t>
        </is>
      </c>
      <c r="M3" t="n">
        <v>-109.98760754</v>
      </c>
      <c r="N3" t="n">
        <v>31.92142299</v>
      </c>
    </row>
    <row r="4">
      <c r="A4" t="inlineStr">
        <is>
          <t>OVAZ-16</t>
        </is>
      </c>
      <c r="B4" t="n">
        <v>78</v>
      </c>
      <c r="C4" t="inlineStr">
        <is>
          <t>(-109.98760353099999, 31.921788581000044)</t>
        </is>
      </c>
      <c r="D4" t="inlineStr">
        <is>
          <t>1N4862131356</t>
        </is>
      </c>
      <c r="E4" t="n">
        <v>88487100820</v>
      </c>
      <c r="F4" t="inlineStr">
        <is>
          <t>2365 Sunrise Ct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Three Phase</t>
        </is>
      </c>
      <c r="K4" t="inlineStr">
        <is>
          <t>Ocean View Feeder A</t>
        </is>
      </c>
      <c r="L4" t="inlineStr">
        <is>
          <t>ABC</t>
        </is>
      </c>
      <c r="M4" t="n">
        <v>-109.98760353</v>
      </c>
      <c r="N4" t="n">
        <v>31.92178858</v>
      </c>
    </row>
    <row r="5">
      <c r="A5" t="inlineStr">
        <is>
          <t>OVAZ-16</t>
        </is>
      </c>
      <c r="B5" t="n">
        <v>79</v>
      </c>
      <c r="C5" t="inlineStr">
        <is>
          <t>(-109.98717688699998, 31.921602370000073)</t>
        </is>
      </c>
      <c r="D5" t="inlineStr">
        <is>
          <t>1N2687153876</t>
        </is>
      </c>
      <c r="E5" t="n">
        <v>63540238312</v>
      </c>
      <c r="F5" t="inlineStr">
        <is>
          <t>5722 Saguaro Cir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Three Phase</t>
        </is>
      </c>
      <c r="K5" t="inlineStr">
        <is>
          <t>Ocean View Feeder A</t>
        </is>
      </c>
      <c r="L5" t="inlineStr">
        <is>
          <t>ABC</t>
        </is>
      </c>
      <c r="M5" t="n">
        <v>-109.98717689</v>
      </c>
      <c r="N5" t="n">
        <v>31.92160237</v>
      </c>
    </row>
    <row r="6">
      <c r="A6" t="inlineStr">
        <is>
          <t>OVAZ-16</t>
        </is>
      </c>
      <c r="B6" t="n">
        <v>80</v>
      </c>
      <c r="C6" t="inlineStr">
        <is>
          <t>(-109.98717488299997, 31.921785165000074)</t>
        </is>
      </c>
      <c r="D6" t="inlineStr">
        <is>
          <t>3Q2699154260</t>
        </is>
      </c>
      <c r="E6" t="n">
        <v>62900007248</v>
      </c>
      <c r="F6" t="inlineStr">
        <is>
          <t>3119 Dusty Mesa Ave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Three Phase</t>
        </is>
      </c>
      <c r="K6" t="inlineStr">
        <is>
          <t>Ocean View Feeder A</t>
        </is>
      </c>
      <c r="L6" t="inlineStr">
        <is>
          <t>ABC</t>
        </is>
      </c>
      <c r="M6" t="n">
        <v>-109.98717488</v>
      </c>
      <c r="N6" t="n">
        <v>31.92178517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29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OVAZ-17</t>
        </is>
      </c>
      <c r="B2" t="n">
        <v>81</v>
      </c>
      <c r="C2" t="inlineStr">
        <is>
          <t>(-109.98918585099995, 31.916722330000027)</t>
        </is>
      </c>
      <c r="D2" t="inlineStr">
        <is>
          <t>2P4677412127</t>
        </is>
      </c>
      <c r="E2" t="n">
        <v>44490616808</v>
      </c>
      <c r="F2" t="inlineStr">
        <is>
          <t>5000 Jackrabbit Dr #Unit 35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Three Phase</t>
        </is>
      </c>
      <c r="K2" t="inlineStr">
        <is>
          <t>Ocean View Feeder A</t>
        </is>
      </c>
      <c r="L2" t="inlineStr">
        <is>
          <t>ABC</t>
        </is>
      </c>
      <c r="M2" t="n">
        <v>-109.98918585</v>
      </c>
      <c r="N2" t="n">
        <v>31.91672233</v>
      </c>
    </row>
    <row r="3">
      <c r="A3" t="inlineStr">
        <is>
          <t>OVAZ-17</t>
        </is>
      </c>
      <c r="B3" t="n">
        <v>82</v>
      </c>
      <c r="C3" t="inlineStr">
        <is>
          <t>(-109.98961447499994, 31.91672574000006)</t>
        </is>
      </c>
      <c r="D3" t="inlineStr">
        <is>
          <t>3Q8794869130</t>
        </is>
      </c>
      <c r="E3" t="n">
        <v>71347708892</v>
      </c>
      <c r="F3" t="inlineStr">
        <is>
          <t>2889 Jackrabbit Dr</t>
        </is>
      </c>
      <c r="G3" t="inlineStr">
        <is>
          <t>Ocean View</t>
        </is>
      </c>
      <c r="H3" t="inlineStr">
        <is>
          <t>Arizona</t>
        </is>
      </c>
      <c r="I3" t="inlineStr">
        <is>
          <t>88 Solis MX</t>
        </is>
      </c>
      <c r="J3" t="inlineStr">
        <is>
          <t>Three Phase</t>
        </is>
      </c>
      <c r="K3" t="inlineStr">
        <is>
          <t>Ocean View Feeder A</t>
        </is>
      </c>
      <c r="L3" t="inlineStr">
        <is>
          <t>ABC</t>
        </is>
      </c>
      <c r="M3" t="n">
        <v>-109.98961447</v>
      </c>
      <c r="N3" t="n">
        <v>31.91672574</v>
      </c>
    </row>
    <row r="4">
      <c r="A4" t="inlineStr">
        <is>
          <t>OVAZ-17</t>
        </is>
      </c>
      <c r="B4" t="n">
        <v>83</v>
      </c>
      <c r="C4" t="inlineStr">
        <is>
          <t>(-109.98918385099995, 31.916905125000028)</t>
        </is>
      </c>
      <c r="D4" t="inlineStr">
        <is>
          <t>3Q1176623812</t>
        </is>
      </c>
      <c r="E4" t="n">
        <v>70832468022</v>
      </c>
      <c r="F4" t="inlineStr">
        <is>
          <t>2275 Jackrabbit Ct #Unit 23</t>
        </is>
      </c>
      <c r="G4" t="inlineStr">
        <is>
          <t>Ocean View</t>
        </is>
      </c>
      <c r="H4" t="inlineStr">
        <is>
          <t>Arizona</t>
        </is>
      </c>
      <c r="I4" t="inlineStr">
        <is>
          <t>109 Aclara kV3x</t>
        </is>
      </c>
      <c r="J4" t="inlineStr">
        <is>
          <t>Three Phase</t>
        </is>
      </c>
      <c r="K4" t="inlineStr">
        <is>
          <t>Ocean View Feeder A</t>
        </is>
      </c>
      <c r="L4" t="inlineStr">
        <is>
          <t>ABC</t>
        </is>
      </c>
      <c r="M4" t="n">
        <v>-109.98918385</v>
      </c>
      <c r="N4" t="n">
        <v>31.91690513</v>
      </c>
    </row>
    <row r="5">
      <c r="A5" t="inlineStr">
        <is>
          <t>OVAZ-17</t>
        </is>
      </c>
      <c r="B5" t="n">
        <v>84</v>
      </c>
      <c r="C5" t="inlineStr">
        <is>
          <t>(-109.98918185199994, 31.917087921000075)</t>
        </is>
      </c>
      <c r="D5" t="inlineStr">
        <is>
          <t>2P6005827914</t>
        </is>
      </c>
      <c r="E5" t="n">
        <v>76995032270</v>
      </c>
      <c r="F5" t="inlineStr">
        <is>
          <t>6311 Saguaro Pl</t>
        </is>
      </c>
      <c r="G5" t="inlineStr">
        <is>
          <t>Ocean View</t>
        </is>
      </c>
      <c r="H5" t="inlineStr">
        <is>
          <t>Arizona</t>
        </is>
      </c>
      <c r="I5" t="inlineStr">
        <is>
          <t>88 Solis MX</t>
        </is>
      </c>
      <c r="J5" t="inlineStr">
        <is>
          <t>Three Phase</t>
        </is>
      </c>
      <c r="K5" t="inlineStr">
        <is>
          <t>Ocean View Feeder A</t>
        </is>
      </c>
      <c r="L5" t="inlineStr">
        <is>
          <t>ABC</t>
        </is>
      </c>
      <c r="M5" t="n">
        <v>-109.98918185</v>
      </c>
      <c r="N5" t="n">
        <v>31.91708792</v>
      </c>
    </row>
    <row r="6">
      <c r="A6" t="inlineStr">
        <is>
          <t>OVAZ-17</t>
        </is>
      </c>
      <c r="B6" t="n">
        <v>85</v>
      </c>
      <c r="C6" t="inlineStr">
        <is>
          <t>(-109.98961047799997, 31.917091330000062)</t>
        </is>
      </c>
      <c r="D6" t="inlineStr">
        <is>
          <t>1N9557372920</t>
        </is>
      </c>
      <c r="E6" t="n">
        <v>10958830462</v>
      </c>
      <c r="F6" t="inlineStr">
        <is>
          <t>3224 Tortolita Way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Three Phase</t>
        </is>
      </c>
      <c r="K6" t="inlineStr">
        <is>
          <t>Ocean View Feeder A</t>
        </is>
      </c>
      <c r="L6" t="inlineStr">
        <is>
          <t>ABC</t>
        </is>
      </c>
      <c r="M6" t="n">
        <v>-109.98961048</v>
      </c>
      <c r="N6" t="n">
        <v>31.91709133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4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OVAZ-18</t>
        </is>
      </c>
      <c r="B2" t="n">
        <v>86</v>
      </c>
      <c r="C2" t="inlineStr">
        <is>
          <t>(-109.98169942199996, 31.91708504500008)</t>
        </is>
      </c>
      <c r="D2" t="inlineStr">
        <is>
          <t>3Q3100867468</t>
        </is>
      </c>
      <c r="E2" t="n">
        <v>72533656352</v>
      </c>
      <c r="F2" t="inlineStr">
        <is>
          <t>2081 Saguaro Bloom St #Unit 29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Three Phase</t>
        </is>
      </c>
      <c r="K2" t="inlineStr">
        <is>
          <t>Ocean View Feeder C</t>
        </is>
      </c>
      <c r="L2" t="inlineStr">
        <is>
          <t>ABC</t>
        </is>
      </c>
      <c r="M2" t="n">
        <v>-109.98169942</v>
      </c>
      <c r="N2" t="n">
        <v>31.91708505</v>
      </c>
    </row>
    <row r="3">
      <c r="A3" t="inlineStr">
        <is>
          <t>OVAZ-18</t>
        </is>
      </c>
      <c r="B3" t="n">
        <v>87</v>
      </c>
      <c r="C3" t="inlineStr">
        <is>
          <t>(-109.98169740799995, 31.91726784000008)</t>
        </is>
      </c>
      <c r="D3" t="inlineStr">
        <is>
          <t>1N3014585766</t>
        </is>
      </c>
      <c r="E3" t="n">
        <v>63006272820</v>
      </c>
      <c r="F3" t="inlineStr">
        <is>
          <t>4311 Ocotillo Bloom Way #Unit 13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Three Phase</t>
        </is>
      </c>
      <c r="K3" t="inlineStr">
        <is>
          <t>Ocean View Feeder C</t>
        </is>
      </c>
      <c r="L3" t="inlineStr">
        <is>
          <t>ABC</t>
        </is>
      </c>
      <c r="M3" t="n">
        <v>-109.98169741</v>
      </c>
      <c r="N3" t="n">
        <v>31.91726784</v>
      </c>
    </row>
    <row r="4">
      <c r="A4" t="inlineStr">
        <is>
          <t>OVAZ-18</t>
        </is>
      </c>
      <c r="B4" t="n">
        <v>88</v>
      </c>
      <c r="C4" t="inlineStr">
        <is>
          <t>(-109.98169539399998, 31.91745063500008)</t>
        </is>
      </c>
      <c r="D4" t="inlineStr">
        <is>
          <t>1N6019386966</t>
        </is>
      </c>
      <c r="E4" t="n">
        <v>53639557555</v>
      </c>
      <c r="F4" t="inlineStr">
        <is>
          <t>2105 Dusty Mesa St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Three Phase</t>
        </is>
      </c>
      <c r="K4" t="inlineStr">
        <is>
          <t>Ocean View Feeder C</t>
        </is>
      </c>
      <c r="L4" t="inlineStr">
        <is>
          <t>ABC</t>
        </is>
      </c>
      <c r="M4" t="n">
        <v>-109.98169539</v>
      </c>
      <c r="N4" t="n">
        <v>31.91745064</v>
      </c>
    </row>
    <row r="5">
      <c r="A5" t="inlineStr">
        <is>
          <t>OVAZ-18</t>
        </is>
      </c>
      <c r="B5" t="n">
        <v>89</v>
      </c>
      <c r="C5" t="inlineStr">
        <is>
          <t>(-109.98212804799999, 31.917088480000075)</t>
        </is>
      </c>
      <c r="D5" t="inlineStr">
        <is>
          <t>1N5509932580</t>
        </is>
      </c>
      <c r="E5" t="n">
        <v>63836312079</v>
      </c>
      <c r="F5" t="inlineStr">
        <is>
          <t>619 Mesquite Cir #Unit 4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Three Phase</t>
        </is>
      </c>
      <c r="K5" t="inlineStr">
        <is>
          <t>Ocean View Feeder C</t>
        </is>
      </c>
      <c r="L5" t="inlineStr">
        <is>
          <t>ABC</t>
        </is>
      </c>
      <c r="M5" t="n">
        <v>-109.98212805</v>
      </c>
      <c r="N5" t="n">
        <v>31.91708848</v>
      </c>
    </row>
    <row r="6">
      <c r="A6" t="inlineStr">
        <is>
          <t>OVAZ-18</t>
        </is>
      </c>
      <c r="B6" t="n">
        <v>90</v>
      </c>
      <c r="C6" t="inlineStr">
        <is>
          <t>(-109.98212402099995, 31.917454070000076)</t>
        </is>
      </c>
      <c r="D6" t="inlineStr">
        <is>
          <t>3Q6230748205</t>
        </is>
      </c>
      <c r="E6" t="n">
        <v>53365899656</v>
      </c>
      <c r="F6" t="inlineStr">
        <is>
          <t>1907 Dusty Mesa Ave</t>
        </is>
      </c>
      <c r="G6" t="inlineStr">
        <is>
          <t>Ocean View</t>
        </is>
      </c>
      <c r="H6" t="inlineStr">
        <is>
          <t>Arizona</t>
        </is>
      </c>
      <c r="I6" t="inlineStr">
        <is>
          <t>109 Aclara kV3x</t>
        </is>
      </c>
      <c r="J6" t="inlineStr">
        <is>
          <t>Three Phase</t>
        </is>
      </c>
      <c r="K6" t="inlineStr">
        <is>
          <t>Ocean View Feeder C</t>
        </is>
      </c>
      <c r="L6" t="inlineStr">
        <is>
          <t>ABC</t>
        </is>
      </c>
      <c r="M6" t="n">
        <v>-109.98212402</v>
      </c>
      <c r="N6" t="n">
        <v>31.91745407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2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OVAZ-19</t>
        </is>
      </c>
      <c r="B2" t="n">
        <v>91</v>
      </c>
      <c r="C2" t="inlineStr">
        <is>
          <t>(-109.98694019699997, 31.920074795000062)</t>
        </is>
      </c>
      <c r="D2" t="inlineStr">
        <is>
          <t>3Q0634272202</t>
        </is>
      </c>
      <c r="E2" t="n">
        <v>95380578638</v>
      </c>
      <c r="F2" t="inlineStr">
        <is>
          <t>8069 Mesquite Ln</t>
        </is>
      </c>
      <c r="G2" t="inlineStr">
        <is>
          <t>Ocean View</t>
        </is>
      </c>
      <c r="H2" t="inlineStr">
        <is>
          <t>Arizona</t>
        </is>
      </c>
      <c r="I2" t="inlineStr">
        <is>
          <t>96 Stratus QX</t>
        </is>
      </c>
      <c r="J2" t="inlineStr">
        <is>
          <t>Single Phase</t>
        </is>
      </c>
      <c r="K2" t="inlineStr">
        <is>
          <t>Ocean View Feeder A</t>
        </is>
      </c>
      <c r="L2" t="inlineStr">
        <is>
          <t>B</t>
        </is>
      </c>
      <c r="M2" t="n">
        <v>-109.9869402</v>
      </c>
      <c r="N2" t="n">
        <v>31.9200748</v>
      </c>
    </row>
    <row r="3">
      <c r="A3" t="inlineStr">
        <is>
          <t>OVAZ-19</t>
        </is>
      </c>
      <c r="B3" t="n">
        <v>92</v>
      </c>
      <c r="C3" t="inlineStr">
        <is>
          <t>(-109.98693618899995, 31.920440385000063)</t>
        </is>
      </c>
      <c r="D3" t="inlineStr">
        <is>
          <t>3Q1360791398</t>
        </is>
      </c>
      <c r="E3" t="n">
        <v>45610799763</v>
      </c>
      <c r="F3" t="inlineStr">
        <is>
          <t>1153 Saguaro Bloom Cir #Unit 1</t>
        </is>
      </c>
      <c r="G3" t="inlineStr">
        <is>
          <t>Ocean View</t>
        </is>
      </c>
      <c r="H3" t="inlineStr">
        <is>
          <t>Arizona</t>
        </is>
      </c>
      <c r="I3" t="inlineStr">
        <is>
          <t>109 Aclara kV3x</t>
        </is>
      </c>
      <c r="J3" t="inlineStr">
        <is>
          <t>Single Phase</t>
        </is>
      </c>
      <c r="K3" t="inlineStr">
        <is>
          <t>Ocean View Feeder A</t>
        </is>
      </c>
      <c r="L3" t="inlineStr">
        <is>
          <t>B</t>
        </is>
      </c>
      <c r="M3" t="n">
        <v>-109.98693619</v>
      </c>
      <c r="N3" t="n">
        <v>31.92044039</v>
      </c>
    </row>
    <row r="4">
      <c r="A4" t="inlineStr">
        <is>
          <t>OVAZ-19</t>
        </is>
      </c>
      <c r="B4" t="n">
        <v>93</v>
      </c>
      <c r="C4" t="inlineStr">
        <is>
          <t>(-109.98693819299996, 31.920257590000062)</t>
        </is>
      </c>
      <c r="D4" t="inlineStr">
        <is>
          <t>3Q3374849440</t>
        </is>
      </c>
      <c r="E4" t="n">
        <v>24329436603</v>
      </c>
      <c r="F4" t="inlineStr">
        <is>
          <t>9456 Cholla Rd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Single Phase</t>
        </is>
      </c>
      <c r="K4" t="inlineStr">
        <is>
          <t>Ocean View Feeder A</t>
        </is>
      </c>
      <c r="L4" t="inlineStr">
        <is>
          <t>B</t>
        </is>
      </c>
      <c r="M4" t="n">
        <v>-109.98693819</v>
      </c>
      <c r="N4" t="n">
        <v>31.92025759</v>
      </c>
    </row>
    <row r="5">
      <c r="A5" t="inlineStr">
        <is>
          <t>OVAZ-19</t>
        </is>
      </c>
      <c r="B5" t="n">
        <v>94</v>
      </c>
      <c r="C5" t="inlineStr">
        <is>
          <t>(-109.98736883699996, 31.920078213000068)</t>
        </is>
      </c>
      <c r="D5" t="inlineStr">
        <is>
          <t>1N9384908868</t>
        </is>
      </c>
      <c r="E5" t="n">
        <v>90407079604</v>
      </c>
      <c r="F5" t="inlineStr">
        <is>
          <t>4520 Mesquite Dr #Unit 38</t>
        </is>
      </c>
      <c r="G5" t="inlineStr">
        <is>
          <t>Ocean View</t>
        </is>
      </c>
      <c r="H5" t="inlineStr">
        <is>
          <t>Arizona</t>
        </is>
      </c>
      <c r="I5" t="inlineStr">
        <is>
          <t>109 Aclara kV3x</t>
        </is>
      </c>
      <c r="J5" t="inlineStr">
        <is>
          <t>Single Phase</t>
        </is>
      </c>
      <c r="K5" t="inlineStr">
        <is>
          <t>Ocean View Feeder A</t>
        </is>
      </c>
      <c r="L5" t="inlineStr">
        <is>
          <t>B</t>
        </is>
      </c>
      <c r="M5" t="n">
        <v>-109.98736884</v>
      </c>
      <c r="N5" t="n">
        <v>31.92007821</v>
      </c>
    </row>
    <row r="6">
      <c r="A6" t="inlineStr">
        <is>
          <t>OVAZ-19</t>
        </is>
      </c>
      <c r="B6" t="n">
        <v>95</v>
      </c>
      <c r="C6" t="inlineStr">
        <is>
          <t>(-109.98736483099998, 31.92044380300007)</t>
        </is>
      </c>
      <c r="D6" t="inlineStr">
        <is>
          <t>1N7548020432</t>
        </is>
      </c>
      <c r="E6" t="n">
        <v>15193139833</v>
      </c>
      <c r="F6" t="inlineStr">
        <is>
          <t>3848 Agave Way #Unit 22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Single Phase</t>
        </is>
      </c>
      <c r="K6" t="inlineStr">
        <is>
          <t>Ocean View Feeder A</t>
        </is>
      </c>
      <c r="L6" t="inlineStr">
        <is>
          <t>B</t>
        </is>
      </c>
      <c r="M6" t="n">
        <v>-109.98736483</v>
      </c>
      <c r="N6" t="n">
        <v>31.9204438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3" customWidth="1" min="3" max="3"/>
    <col width="14" customWidth="1" min="4" max="4"/>
    <col width="16" customWidth="1" min="5" max="5"/>
    <col width="32" customWidth="1" min="6" max="6"/>
    <col width="12" customWidth="1" min="7" max="7"/>
    <col width="9" customWidth="1" min="8" max="8"/>
    <col width="17" customWidth="1" min="9" max="9"/>
    <col width="23" customWidth="1" min="10" max="10"/>
    <col width="21" customWidth="1" min="11" max="11"/>
    <col width="19" customWidth="1" min="12" max="12"/>
    <col width="15" customWidth="1" min="13" max="13"/>
    <col width="13" customWidth="1" min="14" max="14"/>
  </cols>
  <sheetData>
    <row r="1">
      <c r="A1" s="1" t="inlineStr">
        <is>
          <t>Transformer-ID</t>
        </is>
      </c>
      <c r="B1" s="1" t="inlineStr">
        <is>
          <t>OBJECTID</t>
        </is>
      </c>
      <c r="C1" s="1" t="inlineStr">
        <is>
          <t>Shape</t>
        </is>
      </c>
      <c r="D1" s="1" t="inlineStr">
        <is>
          <t>Meter ID</t>
        </is>
      </c>
      <c r="E1" s="1" t="inlineStr">
        <is>
          <t>Account Number</t>
        </is>
      </c>
      <c r="F1" s="1" t="inlineStr">
        <is>
          <t>Street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Meter Type</t>
        </is>
      </c>
      <c r="J1" s="1" t="inlineStr">
        <is>
          <t>Single-or-Three-Phase</t>
        </is>
      </c>
      <c r="K1" s="1" t="inlineStr">
        <is>
          <t>Circuit-Name</t>
        </is>
      </c>
      <c r="L1" s="1" t="inlineStr">
        <is>
          <t>Phase-Designation</t>
        </is>
      </c>
      <c r="M1" s="1" t="inlineStr">
        <is>
          <t>Meter-X</t>
        </is>
      </c>
      <c r="N1" s="1" t="inlineStr">
        <is>
          <t>Meter-Y</t>
        </is>
      </c>
    </row>
    <row r="2">
      <c r="A2" t="inlineStr">
        <is>
          <t>OVAZ-20</t>
        </is>
      </c>
      <c r="B2" t="n">
        <v>96</v>
      </c>
      <c r="C2" t="inlineStr">
        <is>
          <t>(-109.98488958499996, 31.92033103800003)</t>
        </is>
      </c>
      <c r="D2" t="inlineStr">
        <is>
          <t>1N0236399078</t>
        </is>
      </c>
      <c r="E2" t="n">
        <v>18221688872</v>
      </c>
      <c r="F2" t="inlineStr">
        <is>
          <t>4712 Ocotillo Ridge St #Unit 2</t>
        </is>
      </c>
      <c r="G2" t="inlineStr">
        <is>
          <t>Ocean View</t>
        </is>
      </c>
      <c r="H2" t="inlineStr">
        <is>
          <t>Arizona</t>
        </is>
      </c>
      <c r="I2" t="inlineStr">
        <is>
          <t>109 Aclara kV3x</t>
        </is>
      </c>
      <c r="J2" t="inlineStr">
        <is>
          <t>Single Phase</t>
        </is>
      </c>
      <c r="K2" t="inlineStr">
        <is>
          <t>Ocean View Feeder C</t>
        </is>
      </c>
      <c r="L2" t="inlineStr">
        <is>
          <t>C</t>
        </is>
      </c>
      <c r="M2" t="n">
        <v>-109.98488958</v>
      </c>
      <c r="N2" t="n">
        <v>31.92033104</v>
      </c>
    </row>
    <row r="3">
      <c r="A3" t="inlineStr">
        <is>
          <t>OVAZ-20</t>
        </is>
      </c>
      <c r="B3" t="n">
        <v>97</v>
      </c>
      <c r="C3" t="inlineStr">
        <is>
          <t>(-109.98488556999996, 31.92069662800003)</t>
        </is>
      </c>
      <c r="D3" t="inlineStr">
        <is>
          <t>3Q5547690535</t>
        </is>
      </c>
      <c r="E3" t="n">
        <v>12594960751</v>
      </c>
      <c r="F3" t="inlineStr">
        <is>
          <t>889 Tortolita St #Unit 38</t>
        </is>
      </c>
      <c r="G3" t="inlineStr">
        <is>
          <t>Ocean View</t>
        </is>
      </c>
      <c r="H3" t="inlineStr">
        <is>
          <t>Arizona</t>
        </is>
      </c>
      <c r="I3" t="inlineStr">
        <is>
          <t>96 Stratus QX</t>
        </is>
      </c>
      <c r="J3" t="inlineStr">
        <is>
          <t>Single Phase</t>
        </is>
      </c>
      <c r="K3" t="inlineStr">
        <is>
          <t>Ocean View Feeder C</t>
        </is>
      </c>
      <c r="L3" t="inlineStr">
        <is>
          <t>C</t>
        </is>
      </c>
      <c r="M3" t="n">
        <v>-109.98488557</v>
      </c>
      <c r="N3" t="n">
        <v>31.92069663</v>
      </c>
    </row>
    <row r="4">
      <c r="A4" t="inlineStr">
        <is>
          <t>OVAZ-20</t>
        </is>
      </c>
      <c r="B4" t="n">
        <v>98</v>
      </c>
      <c r="C4" t="inlineStr">
        <is>
          <t>(-109.98488757699994, 31.92051383300003)</t>
        </is>
      </c>
      <c r="D4" t="inlineStr">
        <is>
          <t>1N2578792648</t>
        </is>
      </c>
      <c r="E4" t="n">
        <v>26310201651</v>
      </c>
      <c r="F4" t="inlineStr">
        <is>
          <t>8677 Sunrise Dr</t>
        </is>
      </c>
      <c r="G4" t="inlineStr">
        <is>
          <t>Ocean View</t>
        </is>
      </c>
      <c r="H4" t="inlineStr">
        <is>
          <t>Arizona</t>
        </is>
      </c>
      <c r="I4" t="inlineStr">
        <is>
          <t>88 Solis MX</t>
        </is>
      </c>
      <c r="J4" t="inlineStr">
        <is>
          <t>Single Phase</t>
        </is>
      </c>
      <c r="K4" t="inlineStr">
        <is>
          <t>Ocean View Feeder C</t>
        </is>
      </c>
      <c r="L4" t="inlineStr">
        <is>
          <t>C</t>
        </is>
      </c>
      <c r="M4" t="n">
        <v>-109.98488758</v>
      </c>
      <c r="N4" t="n">
        <v>31.92051383</v>
      </c>
    </row>
    <row r="5">
      <c r="A5" t="inlineStr">
        <is>
          <t>OVAZ-20</t>
        </is>
      </c>
      <c r="B5" t="n">
        <v>99</v>
      </c>
      <c r="C5" t="inlineStr">
        <is>
          <t>(-109.98531421199999, 31.92070005200003)</t>
        </is>
      </c>
      <c r="D5" t="inlineStr">
        <is>
          <t>3Q5813063985</t>
        </is>
      </c>
      <c r="E5" t="n">
        <v>81257273030</v>
      </c>
      <c r="F5" t="inlineStr">
        <is>
          <t>3085 Copper Sky Ave</t>
        </is>
      </c>
      <c r="G5" t="inlineStr">
        <is>
          <t>Ocean View</t>
        </is>
      </c>
      <c r="H5" t="inlineStr">
        <is>
          <t>Arizona</t>
        </is>
      </c>
      <c r="I5" t="inlineStr">
        <is>
          <t>96 Stratus QX</t>
        </is>
      </c>
      <c r="J5" t="inlineStr">
        <is>
          <t>Single Phase</t>
        </is>
      </c>
      <c r="K5" t="inlineStr">
        <is>
          <t>Ocean View Feeder C</t>
        </is>
      </c>
      <c r="L5" t="inlineStr">
        <is>
          <t>C</t>
        </is>
      </c>
      <c r="M5" t="n">
        <v>-109.98531421</v>
      </c>
      <c r="N5" t="n">
        <v>31.92070005</v>
      </c>
    </row>
    <row r="6">
      <c r="A6" t="inlineStr">
        <is>
          <t>OVAZ-20</t>
        </is>
      </c>
      <c r="B6" t="n">
        <v>100</v>
      </c>
      <c r="C6" t="inlineStr">
        <is>
          <t>(-109.98531822599995, 31.920334462000028)</t>
        </is>
      </c>
      <c r="D6" t="inlineStr">
        <is>
          <t>1N0948701286</t>
        </is>
      </c>
      <c r="E6" t="n">
        <v>57641675637</v>
      </c>
      <c r="F6" t="inlineStr">
        <is>
          <t>6797 Prickly Pear St</t>
        </is>
      </c>
      <c r="G6" t="inlineStr">
        <is>
          <t>Ocean View</t>
        </is>
      </c>
      <c r="H6" t="inlineStr">
        <is>
          <t>Arizona</t>
        </is>
      </c>
      <c r="I6" t="inlineStr">
        <is>
          <t>88 Solis MX</t>
        </is>
      </c>
      <c r="J6" t="inlineStr">
        <is>
          <t>Single Phase</t>
        </is>
      </c>
      <c r="K6" t="inlineStr">
        <is>
          <t>Ocean View Feeder C</t>
        </is>
      </c>
      <c r="L6" t="inlineStr">
        <is>
          <t>C</t>
        </is>
      </c>
      <c r="M6" t="n">
        <v>-109.98531823</v>
      </c>
      <c r="N6" t="n">
        <v>31.92033446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2025-12-18T21:16:22Z</dcterms:created>
  <dcterms:modified xmlns:dcterms="http://purl.org/dc/terms/" xmlns:xsi="http://www.w3.org/2001/XMLSchema-instance" xsi:type="dcterms:W3CDTF">2025-12-18T21:16:22Z</dcterms:modified>
</cp:coreProperties>
</file>